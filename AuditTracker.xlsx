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2" autoFilterDateGrouping="1"/>
  </bookViews>
  <sheets>
    <sheet xmlns:r="http://schemas.openxmlformats.org/officeDocument/2006/relationships" name="Dashboard" sheetId="1" state="visible" r:id="rId1"/>
    <sheet xmlns:r="http://schemas.openxmlformats.org/officeDocument/2006/relationships" name="Intelligence" sheetId="2" state="visible" r:id="rId2"/>
    <sheet xmlns:r="http://schemas.openxmlformats.org/officeDocument/2006/relationships" name="Obligations" sheetId="3" state="visible" r:id="rId3"/>
    <sheet xmlns:r="http://schemas.openxmlformats.org/officeDocument/2006/relationships" name="Actions" sheetId="4" state="visible" r:id="rId4"/>
    <sheet xmlns:r="http://schemas.openxmlformats.org/officeDocument/2006/relationships" name="Evidence Gaps" sheetId="5" state="visible" r:id="rId5"/>
  </sheets>
  <definedNames>
    <definedName name="_xlnm._FilterDatabase" localSheetId="1" hidden="1">'Intelligence'!$A$1:$M$209</definedName>
    <definedName name="_xlnm._FilterDatabase" localSheetId="2" hidden="1">'Obligations'!$A$1:$O$23</definedName>
    <definedName name="_xlnm._FilterDatabase" localSheetId="3" hidden="1">'Actions'!$A$1:$L$35</definedName>
    <definedName name="_xlnm._FilterDatabase" localSheetId="4" hidden="1">'Evidence Gaps'!$A$1:$H$29</definedName>
  </definedNames>
  <calcPr calcId="0" fullCalcOnLoad="1"/>
</workbook>
</file>

<file path=xl/styles.xml><?xml version="1.0" encoding="utf-8"?>
<styleSheet xmlns="http://schemas.openxmlformats.org/spreadsheetml/2006/main">
  <numFmts count="2">
    <numFmt numFmtId="164" formatCode="yyyy\-mm\-dd"/>
    <numFmt numFmtId="165" formatCode="yyyy-mm-dd"/>
  </numFmts>
  <fonts count="25">
    <font>
      <name val="Calibri"/>
      <family val="2"/>
      <color theme="1"/>
      <sz val="11"/>
      <scheme val="minor"/>
    </font>
    <font>
      <name val="Calibri"/>
      <family val="2"/>
      <color theme="10"/>
      <sz val="11"/>
      <u val="single"/>
      <scheme val="minor"/>
    </font>
    <font>
      <name val="Calibri"/>
      <sz val="10"/>
    </font>
    <font>
      <name val="Calibri"/>
      <b val="1"/>
      <color rgb="FFFFFFFF"/>
      <sz val="10"/>
    </font>
    <font>
      <name val="Calibri"/>
      <sz val="10"/>
    </font>
    <font>
      <name val="Calibri"/>
      <b val="1"/>
      <color rgb="FF231F20"/>
      <sz val="18"/>
    </font>
    <font>
      <name val="Calibri"/>
      <i val="1"/>
      <color rgb="FF777777"/>
      <sz val="9"/>
    </font>
    <font>
      <name val="Calibri"/>
      <b val="1"/>
      <color rgb="FFFFFFFF"/>
      <sz val="26"/>
    </font>
    <font>
      <name val="Calibri"/>
      <b val="1"/>
      <color rgb="FFFFFFFF"/>
      <sz val="8"/>
    </font>
    <font>
      <name val="Calibri"/>
      <b val="1"/>
      <color rgb="FFFFFFFF"/>
      <sz val="10"/>
    </font>
    <font>
      <name val="Calibri"/>
      <b val="1"/>
      <color rgb="FF231F20"/>
      <sz val="9"/>
    </font>
    <font>
      <name val="Calibri"/>
      <b val="1"/>
      <color rgb="FFFFFFFF"/>
      <sz val="9"/>
    </font>
    <font>
      <name val="Calibri"/>
      <color rgb="FF231F20"/>
      <sz val="9"/>
    </font>
    <font>
      <name val="Calibri"/>
      <b val="1"/>
      <color rgb="FFC0392B"/>
      <sz val="9"/>
    </font>
    <font>
      <b val="1"/>
      <color rgb="00FFFFFF"/>
      <sz val="10"/>
    </font>
    <font>
      <sz val="10"/>
    </font>
    <font>
      <name val="Calibri"/>
      <b val="1"/>
      <color rgb="00231F20"/>
      <sz val="18"/>
    </font>
    <font>
      <name val="Calibri"/>
      <i val="1"/>
      <color rgb="00777777"/>
      <sz val="9"/>
    </font>
    <font>
      <name val="Calibri"/>
      <b val="1"/>
      <color rgb="00FFFFFF"/>
      <sz val="26"/>
    </font>
    <font>
      <name val="Calibri"/>
      <b val="1"/>
      <color rgb="00FFFFFF"/>
      <sz val="8"/>
    </font>
    <font>
      <name val="Calibri"/>
      <b val="1"/>
      <color rgb="00FFFFFF"/>
      <sz val="10"/>
    </font>
    <font>
      <name val="Calibri"/>
      <b val="1"/>
      <color rgb="00231F20"/>
      <sz val="9"/>
    </font>
    <font>
      <name val="Calibri"/>
      <b val="1"/>
      <color rgb="00FFFFFF"/>
      <sz val="9"/>
    </font>
    <font>
      <name val="Calibri"/>
      <color rgb="00231F20"/>
      <sz val="9"/>
    </font>
    <font>
      <name val="Calibri"/>
      <b val="1"/>
      <color rgb="00C0392B"/>
      <sz val="9"/>
    </font>
  </fonts>
  <fills count="18">
    <fill>
      <patternFill/>
    </fill>
    <fill>
      <patternFill patternType="gray125"/>
    </fill>
    <fill>
      <patternFill patternType="solid">
        <fgColor rgb="FF1F3864"/>
      </patternFill>
    </fill>
    <fill>
      <patternFill patternType="solid">
        <fgColor rgb="FFF2F5FA"/>
      </patternFill>
    </fill>
    <fill>
      <patternFill patternType="solid">
        <fgColor rgb="FF78BE20"/>
      </patternFill>
    </fill>
    <fill>
      <patternFill patternType="solid">
        <fgColor rgb="FF00205B"/>
      </patternFill>
    </fill>
    <fill>
      <patternFill patternType="solid">
        <fgColor rgb="FFC0392B"/>
      </patternFill>
    </fill>
    <fill>
      <patternFill patternType="solid">
        <fgColor rgb="FF27AE60"/>
      </patternFill>
    </fill>
    <fill>
      <patternFill patternType="solid">
        <fgColor rgb="FFFFFFFF"/>
      </patternFill>
    </fill>
    <fill>
      <patternFill patternType="solid">
        <fgColor rgb="FFF4F4F4"/>
      </patternFill>
    </fill>
    <fill>
      <patternFill patternType="solid">
        <fgColor rgb="001F3864"/>
      </patternFill>
    </fill>
    <fill>
      <patternFill patternType="solid">
        <fgColor rgb="00F2F5FA"/>
      </patternFill>
    </fill>
    <fill>
      <patternFill patternType="solid">
        <fgColor rgb="0078BE20"/>
      </patternFill>
    </fill>
    <fill>
      <patternFill patternType="solid">
        <fgColor rgb="0000205B"/>
      </patternFill>
    </fill>
    <fill>
      <patternFill patternType="solid">
        <fgColor rgb="00C0392B"/>
      </patternFill>
    </fill>
    <fill>
      <patternFill patternType="solid">
        <fgColor rgb="0027AE60"/>
      </patternFill>
    </fill>
    <fill>
      <patternFill patternType="solid">
        <fgColor rgb="00FFFFFF"/>
      </patternFill>
    </fill>
    <fill>
      <patternFill patternType="solid">
        <fgColor rgb="00F4F4F4"/>
      </patternFill>
    </fill>
  </fills>
  <borders count="13">
    <border>
      <left/>
      <right/>
      <top/>
      <bottom/>
      <diagonal/>
    </border>
    <border>
      <left style="thin">
        <color rgb="FFB4C6E7"/>
      </left>
      <right style="thin">
        <color rgb="FFB4C6E7"/>
      </right>
      <top style="thin">
        <color rgb="FFB4C6E7"/>
      </top>
      <bottom style="thin">
        <color rgb="FFB4C6E7"/>
      </bottom>
      <diagonal/>
    </border>
    <border>
      <left style="thin">
        <color rgb="FFDDDDDD"/>
      </left>
      <right style="thin">
        <color rgb="FFDDDDDD"/>
      </right>
      <top style="thin">
        <color rgb="FFDDDDDD"/>
      </top>
      <bottom style="thin">
        <color rgb="FFDDDDDD"/>
      </bottom>
      <diagonal/>
    </border>
    <border>
      <left/>
      <right style="thin">
        <color rgb="FFDDDDDD"/>
      </right>
      <top style="thin">
        <color rgb="FFDDDDDD"/>
      </top>
      <bottom style="thin">
        <color rgb="FFDDDDDD"/>
      </bottom>
      <diagonal/>
    </border>
    <border>
      <left/>
      <right/>
      <top style="thin">
        <color rgb="FFDDDDDD"/>
      </top>
      <bottom style="thin">
        <color rgb="FFDDDDDD"/>
      </bottom>
      <diagonal/>
    </border>
    <border>
      <left/>
      <right/>
      <top style="thin">
        <color rgb="FFDDDDDD"/>
      </top>
      <bottom/>
      <diagonal/>
    </border>
    <border>
      <left/>
      <right style="thin">
        <color rgb="FFDDDDDD"/>
      </right>
      <top style="thin">
        <color rgb="FFDDDDDD"/>
      </top>
      <bottom/>
      <diagonal/>
    </border>
    <border>
      <left style="thin">
        <color rgb="00B4C6E7"/>
      </left>
      <right style="thin">
        <color rgb="00B4C6E7"/>
      </right>
      <top style="thin">
        <color rgb="00B4C6E7"/>
      </top>
      <bottom style="thin">
        <color rgb="00B4C6E7"/>
      </bottom>
    </border>
    <border>
      <left style="thin">
        <color rgb="00DDDDDD"/>
      </left>
      <right style="thin">
        <color rgb="00DDDDDD"/>
      </right>
      <top style="thin">
        <color rgb="00DDDDDD"/>
      </top>
      <bottom style="thin">
        <color rgb="00DDDDDD"/>
      </bottom>
    </border>
    <border>
      <left/>
      <right/>
      <top style="thin">
        <color rgb="00DDDDDD"/>
      </top>
      <bottom/>
      <diagonal/>
    </border>
    <border>
      <left/>
      <right style="thin">
        <color rgb="00DDDDDD"/>
      </right>
      <top style="thin">
        <color rgb="00DDDDDD"/>
      </top>
      <bottom/>
      <diagonal/>
    </border>
    <border>
      <left/>
      <right style="thin">
        <color rgb="00DDDDDD"/>
      </right>
      <top style="thin">
        <color rgb="00DDDDDD"/>
      </top>
      <bottom style="thin">
        <color rgb="00DDDDDD"/>
      </bottom>
      <diagonal/>
    </border>
    <border>
      <left/>
      <right/>
      <top style="thin">
        <color rgb="00DDDDDD"/>
      </top>
      <bottom style="thin">
        <color rgb="00DDDDDD"/>
      </bottom>
      <diagonal/>
    </border>
  </borders>
  <cellStyleXfs count="2">
    <xf numFmtId="0" fontId="0" fillId="0" borderId="0"/>
    <xf numFmtId="0" fontId="1" fillId="0" borderId="0"/>
  </cellStyleXfs>
  <cellXfs count="159">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horizontal="center"/>
    </xf>
    <xf numFmtId="0" fontId="3" fillId="2" borderId="1" applyAlignment="1" pivotButton="0" quotePrefix="0" xfId="0">
      <alignment horizontal="center" vertical="center" wrapText="1"/>
    </xf>
    <xf numFmtId="0" fontId="4" fillId="3" borderId="1" applyAlignment="1" pivotButton="0" quotePrefix="0" xfId="0">
      <alignment horizontal="center" vertical="top" wrapText="1"/>
    </xf>
    <xf numFmtId="0" fontId="4" fillId="3" borderId="1" applyAlignment="1" pivotButton="0" quotePrefix="0" xfId="0">
      <alignment horizontal="left" vertical="top" wrapText="1"/>
    </xf>
    <xf numFmtId="0" fontId="4" fillId="0" borderId="1" applyAlignment="1" pivotButton="0" quotePrefix="0" xfId="0">
      <alignment horizontal="center" vertical="top" wrapText="1"/>
    </xf>
    <xf numFmtId="0" fontId="4" fillId="0" borderId="1" applyAlignment="1" pivotButton="0" quotePrefix="0" xfId="0">
      <alignment horizontal="left" vertical="top" wrapText="1"/>
    </xf>
    <xf numFmtId="0" fontId="4" fillId="3" borderId="1" applyAlignment="1" pivotButton="0" quotePrefix="0" xfId="1">
      <alignment horizontal="left" vertical="top" wrapText="1"/>
    </xf>
    <xf numFmtId="0" fontId="0" fillId="4" borderId="0" applyAlignment="1" pivotButton="0" quotePrefix="0" xfId="0">
      <alignment horizontal="left" vertical="center"/>
    </xf>
    <xf numFmtId="0" fontId="11" fillId="5" borderId="2" applyAlignment="1" pivotButton="0" quotePrefix="0" xfId="0">
      <alignment horizontal="left" vertical="center"/>
    </xf>
    <xf numFmtId="0" fontId="11" fillId="5" borderId="2" applyAlignment="1" pivotButton="0" quotePrefix="0" xfId="0">
      <alignment horizontal="right" vertical="center"/>
    </xf>
    <xf numFmtId="0" fontId="12" fillId="8" borderId="2" applyAlignment="1" pivotButton="0" quotePrefix="0" xfId="0">
      <alignment horizontal="left" vertical="center"/>
    </xf>
    <xf numFmtId="0" fontId="12" fillId="8" borderId="2" applyAlignment="1" pivotButton="0" quotePrefix="0" xfId="0">
      <alignment horizontal="right" vertical="center"/>
    </xf>
    <xf numFmtId="0" fontId="12" fillId="9" borderId="2" applyAlignment="1" pivotButton="0" quotePrefix="0" xfId="0">
      <alignment horizontal="left" vertical="center"/>
    </xf>
    <xf numFmtId="0" fontId="12" fillId="9" borderId="2" applyAlignment="1" pivotButton="0" quotePrefix="0" xfId="0">
      <alignment horizontal="right" vertical="center"/>
    </xf>
    <xf numFmtId="0" fontId="10" fillId="8" borderId="2" applyAlignment="1" pivotButton="0" quotePrefix="0" xfId="0">
      <alignment horizontal="left" vertical="center"/>
    </xf>
    <xf numFmtId="0" fontId="13" fillId="8" borderId="2" applyAlignment="1" pivotButton="0" quotePrefix="0" xfId="0">
      <alignment horizontal="center" vertical="center"/>
    </xf>
    <xf numFmtId="0" fontId="10" fillId="9" borderId="2" applyAlignment="1" pivotButton="0" quotePrefix="0" xfId="0">
      <alignment horizontal="left" vertical="center"/>
    </xf>
    <xf numFmtId="0" fontId="13" fillId="9" borderId="2" applyAlignment="1" pivotButton="0" quotePrefix="0" xfId="0">
      <alignment horizontal="center" vertical="center"/>
    </xf>
    <xf numFmtId="164" fontId="4" fillId="3" borderId="1" applyAlignment="1" pivotButton="0" quotePrefix="0" xfId="0">
      <alignment horizontal="center" vertical="top" wrapText="1"/>
    </xf>
    <xf numFmtId="164" fontId="4" fillId="0" borderId="1" applyAlignment="1" pivotButton="0" quotePrefix="0" xfId="0">
      <alignment horizontal="center" vertical="top" wrapText="1"/>
    </xf>
    <xf numFmtId="0" fontId="12" fillId="8" borderId="2" applyAlignment="1" pivotButton="0" quotePrefix="0" xfId="0">
      <alignment horizontal="left" vertical="center" wrapText="1"/>
    </xf>
    <xf numFmtId="0" fontId="0" fillId="0" borderId="4" pivotButton="0" quotePrefix="0" xfId="0"/>
    <xf numFmtId="0" fontId="0" fillId="0" borderId="3" pivotButton="0" quotePrefix="0" xfId="0"/>
    <xf numFmtId="0" fontId="12" fillId="8" borderId="2" applyAlignment="1" pivotButton="0" quotePrefix="0" xfId="0">
      <alignment horizontal="left" vertical="center"/>
    </xf>
    <xf numFmtId="0" fontId="12" fillId="9" borderId="2" applyAlignment="1" pivotButton="0" quotePrefix="0" xfId="0">
      <alignment horizontal="left" vertical="center" wrapText="1"/>
    </xf>
    <xf numFmtId="0" fontId="8" fillId="5" borderId="0" applyAlignment="1" pivotButton="0" quotePrefix="0" xfId="0">
      <alignment horizontal="center" vertical="center"/>
    </xf>
    <xf numFmtId="0" fontId="0" fillId="0" borderId="0" pivotButton="0" quotePrefix="0" xfId="0"/>
    <xf numFmtId="0" fontId="12" fillId="9" borderId="2" applyAlignment="1" pivotButton="0" quotePrefix="0" xfId="0">
      <alignment horizontal="left" vertical="center"/>
    </xf>
    <xf numFmtId="0" fontId="11" fillId="5" borderId="2" applyAlignment="1" pivotButton="0" quotePrefix="0" xfId="0">
      <alignment horizontal="left" vertical="center"/>
    </xf>
    <xf numFmtId="0" fontId="7" fillId="7" borderId="0" applyAlignment="1" pivotButton="0" quotePrefix="0" xfId="0">
      <alignment horizontal="center" vertical="center"/>
    </xf>
    <xf numFmtId="0" fontId="0" fillId="4" borderId="0" applyAlignment="1" pivotButton="0" quotePrefix="0" xfId="0">
      <alignment horizontal="left" vertical="center"/>
    </xf>
    <xf numFmtId="0" fontId="10" fillId="0" borderId="0" applyAlignment="1" pivotButton="0" quotePrefix="0" xfId="0">
      <alignment horizontal="left" vertical="center"/>
    </xf>
    <xf numFmtId="0" fontId="9" fillId="4" borderId="0" applyAlignment="1" pivotButton="0" quotePrefix="0" xfId="0">
      <alignment horizontal="left" vertical="center"/>
    </xf>
    <xf numFmtId="0" fontId="8" fillId="7" borderId="0" applyAlignment="1" pivotButton="0" quotePrefix="0" xfId="0">
      <alignment horizontal="center" vertical="center"/>
    </xf>
    <xf numFmtId="0" fontId="7" fillId="6" borderId="0" applyAlignment="1" pivotButton="0" quotePrefix="0" xfId="0">
      <alignment horizontal="center" vertical="center"/>
    </xf>
    <xf numFmtId="0" fontId="7" fillId="5" borderId="0" applyAlignment="1" pivotButton="0" quotePrefix="0" xfId="0">
      <alignment horizontal="center" vertical="center"/>
    </xf>
    <xf numFmtId="0" fontId="6" fillId="0" borderId="0" applyAlignment="1" pivotButton="0" quotePrefix="0" xfId="0">
      <alignment horizontal="left" vertical="center"/>
    </xf>
    <xf numFmtId="0" fontId="5" fillId="0" borderId="0" applyAlignment="1" pivotButton="0" quotePrefix="0" xfId="0">
      <alignment horizontal="left" vertical="center"/>
    </xf>
    <xf numFmtId="0" fontId="8" fillId="6" borderId="0" applyAlignment="1" pivotButton="0" quotePrefix="0" xfId="0">
      <alignment horizontal="center" vertical="center"/>
    </xf>
    <xf numFmtId="0" fontId="2" fillId="3" borderId="1" applyAlignment="1" pivotButton="0" quotePrefix="0" xfId="0">
      <alignment horizontal="left" vertical="top" wrapText="1"/>
    </xf>
    <xf numFmtId="0" fontId="14" fillId="10" borderId="7" applyAlignment="1" pivotButton="0" quotePrefix="0" xfId="0">
      <alignment horizontal="center" vertical="center" wrapText="1"/>
    </xf>
    <xf numFmtId="0" fontId="15" fillId="11" borderId="7" applyAlignment="1" pivotButton="0" quotePrefix="0" xfId="0">
      <alignment horizontal="center" vertical="top" wrapText="1"/>
    </xf>
    <xf numFmtId="0" fontId="15" fillId="11" borderId="7" applyAlignment="1" pivotButton="0" quotePrefix="0" xfId="0">
      <alignment horizontal="left" vertical="top" wrapText="1"/>
    </xf>
    <xf numFmtId="0" fontId="15" fillId="0" borderId="7" applyAlignment="1" pivotButton="0" quotePrefix="0" xfId="0">
      <alignment horizontal="center" vertical="top" wrapText="1"/>
    </xf>
    <xf numFmtId="0" fontId="15" fillId="0" borderId="7" applyAlignment="1" pivotButton="0" quotePrefix="0" xfId="0">
      <alignment horizontal="left" vertical="top" wrapText="1"/>
    </xf>
    <xf numFmtId="0" fontId="15" fillId="11" borderId="7" applyAlignment="1" pivotButton="0" quotePrefix="0" xfId="1">
      <alignment horizontal="left" vertical="top" wrapText="1"/>
    </xf>
    <xf numFmtId="0" fontId="0" fillId="12" borderId="0" applyAlignment="1" pivotButton="0" quotePrefix="0" xfId="0">
      <alignment horizontal="left" vertical="center"/>
    </xf>
    <xf numFmtId="0" fontId="16" fillId="0" borderId="0" applyAlignment="1" pivotButton="0" quotePrefix="0" xfId="0">
      <alignment horizontal="left" vertical="center"/>
    </xf>
    <xf numFmtId="0" fontId="17" fillId="0" borderId="0" applyAlignment="1" pivotButton="0" quotePrefix="0" xfId="0">
      <alignment horizontal="left" vertical="center"/>
    </xf>
    <xf numFmtId="0" fontId="18" fillId="13" borderId="0" applyAlignment="1" pivotButton="0" quotePrefix="0" xfId="0">
      <alignment horizontal="center" vertical="center"/>
    </xf>
    <xf numFmtId="0" fontId="18" fillId="14" borderId="0" applyAlignment="1" pivotButton="0" quotePrefix="0" xfId="0">
      <alignment horizontal="center" vertical="center"/>
    </xf>
    <xf numFmtId="0" fontId="18" fillId="15" borderId="0" applyAlignment="1" pivotButton="0" quotePrefix="0" xfId="0">
      <alignment horizontal="center" vertical="center"/>
    </xf>
    <xf numFmtId="0" fontId="19" fillId="13" borderId="0" applyAlignment="1" pivotButton="0" quotePrefix="0" xfId="0">
      <alignment horizontal="center" vertical="center"/>
    </xf>
    <xf numFmtId="0" fontId="19" fillId="14" borderId="0" applyAlignment="1" pivotButton="0" quotePrefix="0" xfId="0">
      <alignment horizontal="center" vertical="center"/>
    </xf>
    <xf numFmtId="0" fontId="19" fillId="15" borderId="0" applyAlignment="1" pivotButton="0" quotePrefix="0" xfId="0">
      <alignment horizontal="center" vertical="center"/>
    </xf>
    <xf numFmtId="0" fontId="20" fillId="12" borderId="0" applyAlignment="1" pivotButton="0" quotePrefix="0" xfId="0">
      <alignment horizontal="left" vertical="center"/>
    </xf>
    <xf numFmtId="0" fontId="21" fillId="0" borderId="0" applyAlignment="1" pivotButton="0" quotePrefix="0" xfId="0">
      <alignment horizontal="left" vertical="center"/>
    </xf>
    <xf numFmtId="0" fontId="22" fillId="13" borderId="8" applyAlignment="1" pivotButton="0" quotePrefix="0" xfId="0">
      <alignment horizontal="left" vertical="center"/>
    </xf>
    <xf numFmtId="0" fontId="0" fillId="0" borderId="11" pivotButton="0" quotePrefix="0" xfId="0"/>
    <xf numFmtId="0" fontId="22" fillId="13" borderId="8" applyAlignment="1" pivotButton="0" quotePrefix="0" xfId="0">
      <alignment horizontal="right" vertical="center"/>
    </xf>
    <xf numFmtId="0" fontId="23" fillId="16" borderId="8" applyAlignment="1" pivotButton="0" quotePrefix="0" xfId="0">
      <alignment horizontal="left" vertical="center"/>
    </xf>
    <xf numFmtId="0" fontId="23" fillId="16" borderId="8" applyAlignment="1" pivotButton="0" quotePrefix="0" xfId="0">
      <alignment horizontal="right" vertical="center"/>
    </xf>
    <xf numFmtId="0" fontId="23" fillId="17" borderId="8" applyAlignment="1" pivotButton="0" quotePrefix="0" xfId="0">
      <alignment horizontal="left" vertical="center"/>
    </xf>
    <xf numFmtId="0" fontId="23" fillId="17" borderId="8" applyAlignment="1" pivotButton="0" quotePrefix="0" xfId="0">
      <alignment horizontal="right" vertical="center"/>
    </xf>
    <xf numFmtId="0" fontId="0" fillId="0" borderId="12" pivotButton="0" quotePrefix="0" xfId="0"/>
    <xf numFmtId="0" fontId="21" fillId="16" borderId="8" applyAlignment="1" pivotButton="0" quotePrefix="0" xfId="0">
      <alignment horizontal="left" vertical="center"/>
    </xf>
    <xf numFmtId="0" fontId="23" fillId="16" borderId="8" applyAlignment="1" pivotButton="0" quotePrefix="0" xfId="0">
      <alignment horizontal="left" vertical="center" wrapText="1"/>
    </xf>
    <xf numFmtId="0" fontId="24" fillId="16" borderId="8" applyAlignment="1" pivotButton="0" quotePrefix="0" xfId="0">
      <alignment horizontal="center" vertical="center"/>
    </xf>
    <xf numFmtId="0" fontId="21" fillId="17" borderId="8" applyAlignment="1" pivotButton="0" quotePrefix="0" xfId="0">
      <alignment horizontal="left" vertical="center"/>
    </xf>
    <xf numFmtId="0" fontId="23" fillId="17" borderId="8" applyAlignment="1" pivotButton="0" quotePrefix="0" xfId="0">
      <alignment horizontal="left" vertical="center" wrapText="1"/>
    </xf>
    <xf numFmtId="0" fontId="24" fillId="17" borderId="8" applyAlignment="1" pivotButton="0" quotePrefix="0" xfId="0">
      <alignment horizontal="center" vertical="center"/>
    </xf>
    <xf numFmtId="165" fontId="15" fillId="11" borderId="7" applyAlignment="1" pivotButton="0" quotePrefix="0" xfId="0">
      <alignment horizontal="center" vertical="top" wrapText="1"/>
    </xf>
    <xf numFmtId="165" fontId="15" fillId="0" borderId="7" applyAlignment="1" pivotButton="0" quotePrefix="0" xfId="0">
      <alignment horizontal="center" vertical="top" wrapText="1"/>
    </xf>
    <xf numFmtId="0" fontId="0" fillId="12" borderId="0" applyAlignment="1" pivotButton="0" quotePrefix="0" xfId="0">
      <alignment horizontal="left" vertical="center"/>
    </xf>
    <xf numFmtId="0" fontId="16" fillId="0" borderId="0" applyAlignment="1" pivotButton="0" quotePrefix="0" xfId="0">
      <alignment horizontal="left" vertical="center"/>
    </xf>
    <xf numFmtId="0" fontId="17" fillId="0" borderId="0" applyAlignment="1" pivotButton="0" quotePrefix="0" xfId="0">
      <alignment horizontal="left" vertical="center"/>
    </xf>
    <xf numFmtId="0" fontId="18" fillId="13" borderId="0" applyAlignment="1" pivotButton="0" quotePrefix="0" xfId="0">
      <alignment horizontal="center" vertical="center"/>
    </xf>
    <xf numFmtId="0" fontId="18" fillId="14" borderId="0" applyAlignment="1" pivotButton="0" quotePrefix="0" xfId="0">
      <alignment horizontal="center" vertical="center"/>
    </xf>
    <xf numFmtId="0" fontId="18" fillId="15" borderId="0" applyAlignment="1" pivotButton="0" quotePrefix="0" xfId="0">
      <alignment horizontal="center" vertical="center"/>
    </xf>
    <xf numFmtId="0" fontId="19" fillId="13" borderId="0" applyAlignment="1" pivotButton="0" quotePrefix="0" xfId="0">
      <alignment horizontal="center" vertical="center"/>
    </xf>
    <xf numFmtId="0" fontId="19" fillId="14" borderId="0" applyAlignment="1" pivotButton="0" quotePrefix="0" xfId="0">
      <alignment horizontal="center" vertical="center"/>
    </xf>
    <xf numFmtId="0" fontId="19" fillId="15" borderId="0" applyAlignment="1" pivotButton="0" quotePrefix="0" xfId="0">
      <alignment horizontal="center" vertical="center"/>
    </xf>
    <xf numFmtId="0" fontId="20" fillId="12" borderId="0" applyAlignment="1" pivotButton="0" quotePrefix="0" xfId="0">
      <alignment horizontal="left" vertical="center"/>
    </xf>
    <xf numFmtId="0" fontId="21" fillId="0" borderId="0" applyAlignment="1" pivotButton="0" quotePrefix="0" xfId="0">
      <alignment horizontal="left" vertical="center"/>
    </xf>
    <xf numFmtId="0" fontId="22" fillId="13" borderId="8" applyAlignment="1" pivotButton="0" quotePrefix="0" xfId="0">
      <alignment horizontal="left" vertical="center"/>
    </xf>
    <xf numFmtId="0" fontId="22" fillId="13" borderId="8" applyAlignment="1" pivotButton="0" quotePrefix="0" xfId="0">
      <alignment horizontal="right" vertical="center"/>
    </xf>
    <xf numFmtId="0" fontId="23" fillId="16" borderId="8" applyAlignment="1" pivotButton="0" quotePrefix="0" xfId="0">
      <alignment horizontal="left" vertical="center"/>
    </xf>
    <xf numFmtId="0" fontId="23" fillId="16" borderId="8" applyAlignment="1" pivotButton="0" quotePrefix="0" xfId="0">
      <alignment horizontal="right" vertical="center"/>
    </xf>
    <xf numFmtId="0" fontId="23" fillId="17" borderId="8" applyAlignment="1" pivotButton="0" quotePrefix="0" xfId="0">
      <alignment horizontal="left" vertical="center"/>
    </xf>
    <xf numFmtId="0" fontId="23" fillId="17" borderId="8" applyAlignment="1" pivotButton="0" quotePrefix="0" xfId="0">
      <alignment horizontal="right" vertical="center"/>
    </xf>
    <xf numFmtId="0" fontId="21" fillId="16" borderId="8" applyAlignment="1" pivotButton="0" quotePrefix="0" xfId="0">
      <alignment horizontal="left" vertical="center"/>
    </xf>
    <xf numFmtId="0" fontId="24" fillId="16" borderId="8" applyAlignment="1" pivotButton="0" quotePrefix="0" xfId="0">
      <alignment horizontal="center" vertical="center"/>
    </xf>
    <xf numFmtId="0" fontId="21" fillId="17" borderId="8" applyAlignment="1" pivotButton="0" quotePrefix="0" xfId="0">
      <alignment horizontal="left" vertical="center"/>
    </xf>
    <xf numFmtId="0" fontId="24" fillId="17" borderId="8" applyAlignment="1" pivotButton="0" quotePrefix="0" xfId="0">
      <alignment horizontal="center" vertical="center"/>
    </xf>
    <xf numFmtId="0" fontId="0" fillId="12" borderId="0" applyAlignment="1" pivotButton="0" quotePrefix="0" xfId="0">
      <alignment horizontal="left" vertical="center"/>
    </xf>
    <xf numFmtId="0" fontId="16" fillId="0" borderId="0" applyAlignment="1" pivotButton="0" quotePrefix="0" xfId="0">
      <alignment horizontal="left" vertical="center"/>
    </xf>
    <xf numFmtId="0" fontId="17" fillId="0" borderId="0" applyAlignment="1" pivotButton="0" quotePrefix="0" xfId="0">
      <alignment horizontal="left" vertical="center"/>
    </xf>
    <xf numFmtId="0" fontId="18" fillId="13" borderId="0" applyAlignment="1" pivotButton="0" quotePrefix="0" xfId="0">
      <alignment horizontal="center" vertical="center"/>
    </xf>
    <xf numFmtId="0" fontId="18" fillId="14" borderId="0" applyAlignment="1" pivotButton="0" quotePrefix="0" xfId="0">
      <alignment horizontal="center" vertical="center"/>
    </xf>
    <xf numFmtId="0" fontId="18" fillId="15" borderId="0" applyAlignment="1" pivotButton="0" quotePrefix="0" xfId="0">
      <alignment horizontal="center" vertical="center"/>
    </xf>
    <xf numFmtId="0" fontId="19" fillId="13" borderId="0" applyAlignment="1" pivotButton="0" quotePrefix="0" xfId="0">
      <alignment horizontal="center" vertical="center"/>
    </xf>
    <xf numFmtId="0" fontId="19" fillId="14" borderId="0" applyAlignment="1" pivotButton="0" quotePrefix="0" xfId="0">
      <alignment horizontal="center" vertical="center"/>
    </xf>
    <xf numFmtId="0" fontId="19" fillId="15" borderId="0" applyAlignment="1" pivotButton="0" quotePrefix="0" xfId="0">
      <alignment horizontal="center" vertical="center"/>
    </xf>
    <xf numFmtId="0" fontId="20" fillId="12" borderId="0" applyAlignment="1" pivotButton="0" quotePrefix="0" xfId="0">
      <alignment horizontal="left" vertical="center"/>
    </xf>
    <xf numFmtId="0" fontId="21" fillId="0" borderId="0" applyAlignment="1" pivotButton="0" quotePrefix="0" xfId="0">
      <alignment horizontal="left" vertical="center"/>
    </xf>
    <xf numFmtId="0" fontId="22" fillId="13" borderId="8" applyAlignment="1" pivotButton="0" quotePrefix="0" xfId="0">
      <alignment horizontal="left" vertical="center"/>
    </xf>
    <xf numFmtId="0" fontId="22" fillId="13" borderId="8" applyAlignment="1" pivotButton="0" quotePrefix="0" xfId="0">
      <alignment horizontal="right" vertical="center"/>
    </xf>
    <xf numFmtId="0" fontId="23" fillId="16" borderId="8" applyAlignment="1" pivotButton="0" quotePrefix="0" xfId="0">
      <alignment horizontal="left" vertical="center"/>
    </xf>
    <xf numFmtId="0" fontId="23" fillId="16" borderId="8" applyAlignment="1" pivotButton="0" quotePrefix="0" xfId="0">
      <alignment horizontal="right" vertical="center"/>
    </xf>
    <xf numFmtId="0" fontId="23" fillId="17" borderId="8" applyAlignment="1" pivotButton="0" quotePrefix="0" xfId="0">
      <alignment horizontal="left" vertical="center"/>
    </xf>
    <xf numFmtId="0" fontId="23" fillId="17" borderId="8" applyAlignment="1" pivotButton="0" quotePrefix="0" xfId="0">
      <alignment horizontal="right" vertical="center"/>
    </xf>
    <xf numFmtId="0" fontId="21" fillId="16" borderId="8" applyAlignment="1" pivotButton="0" quotePrefix="0" xfId="0">
      <alignment horizontal="left" vertical="center"/>
    </xf>
    <xf numFmtId="0" fontId="24" fillId="16" borderId="8" applyAlignment="1" pivotButton="0" quotePrefix="0" xfId="0">
      <alignment horizontal="center" vertical="center"/>
    </xf>
    <xf numFmtId="0" fontId="21" fillId="17" borderId="8" applyAlignment="1" pivotButton="0" quotePrefix="0" xfId="0">
      <alignment horizontal="left" vertical="center"/>
    </xf>
    <xf numFmtId="0" fontId="24" fillId="17" borderId="8" applyAlignment="1" pivotButton="0" quotePrefix="0" xfId="0">
      <alignment horizontal="center" vertical="center"/>
    </xf>
    <xf numFmtId="0" fontId="0" fillId="12" borderId="0" applyAlignment="1" pivotButton="0" quotePrefix="0" xfId="0">
      <alignment horizontal="left" vertical="center"/>
    </xf>
    <xf numFmtId="0" fontId="16" fillId="0" borderId="0" applyAlignment="1" pivotButton="0" quotePrefix="0" xfId="0">
      <alignment horizontal="left" vertical="center"/>
    </xf>
    <xf numFmtId="0" fontId="17" fillId="0" borderId="0" applyAlignment="1" pivotButton="0" quotePrefix="0" xfId="0">
      <alignment horizontal="left" vertical="center"/>
    </xf>
    <xf numFmtId="0" fontId="18" fillId="13" borderId="0" applyAlignment="1" pivotButton="0" quotePrefix="0" xfId="0">
      <alignment horizontal="center" vertical="center"/>
    </xf>
    <xf numFmtId="0" fontId="18" fillId="14" borderId="0" applyAlignment="1" pivotButton="0" quotePrefix="0" xfId="0">
      <alignment horizontal="center" vertical="center"/>
    </xf>
    <xf numFmtId="0" fontId="18" fillId="15" borderId="0" applyAlignment="1" pivotButton="0" quotePrefix="0" xfId="0">
      <alignment horizontal="center" vertical="center"/>
    </xf>
    <xf numFmtId="0" fontId="19" fillId="13" borderId="0" applyAlignment="1" pivotButton="0" quotePrefix="0" xfId="0">
      <alignment horizontal="center" vertical="center"/>
    </xf>
    <xf numFmtId="0" fontId="19" fillId="14" borderId="0" applyAlignment="1" pivotButton="0" quotePrefix="0" xfId="0">
      <alignment horizontal="center" vertical="center"/>
    </xf>
    <xf numFmtId="0" fontId="19" fillId="15" borderId="0" applyAlignment="1" pivotButton="0" quotePrefix="0" xfId="0">
      <alignment horizontal="center" vertical="center"/>
    </xf>
    <xf numFmtId="0" fontId="20" fillId="12" borderId="0" applyAlignment="1" pivotButton="0" quotePrefix="0" xfId="0">
      <alignment horizontal="left" vertical="center"/>
    </xf>
    <xf numFmtId="0" fontId="21" fillId="0" borderId="0" applyAlignment="1" pivotButton="0" quotePrefix="0" xfId="0">
      <alignment horizontal="left" vertical="center"/>
    </xf>
    <xf numFmtId="0" fontId="22" fillId="13" borderId="8" applyAlignment="1" pivotButton="0" quotePrefix="0" xfId="0">
      <alignment horizontal="left" vertical="center"/>
    </xf>
    <xf numFmtId="0" fontId="22" fillId="13" borderId="8" applyAlignment="1" pivotButton="0" quotePrefix="0" xfId="0">
      <alignment horizontal="right" vertical="center"/>
    </xf>
    <xf numFmtId="0" fontId="23" fillId="16" borderId="8" applyAlignment="1" pivotButton="0" quotePrefix="0" xfId="0">
      <alignment horizontal="left" vertical="center"/>
    </xf>
    <xf numFmtId="0" fontId="23" fillId="16" borderId="8" applyAlignment="1" pivotButton="0" quotePrefix="0" xfId="0">
      <alignment horizontal="right" vertical="center"/>
    </xf>
    <xf numFmtId="0" fontId="23" fillId="17" borderId="8" applyAlignment="1" pivotButton="0" quotePrefix="0" xfId="0">
      <alignment horizontal="left" vertical="center"/>
    </xf>
    <xf numFmtId="0" fontId="23" fillId="17" borderId="8" applyAlignment="1" pivotButton="0" quotePrefix="0" xfId="0">
      <alignment horizontal="right" vertical="center"/>
    </xf>
    <xf numFmtId="0" fontId="21" fillId="16" borderId="8" applyAlignment="1" pivotButton="0" quotePrefix="0" xfId="0">
      <alignment horizontal="left" vertical="center"/>
    </xf>
    <xf numFmtId="0" fontId="24" fillId="16" borderId="8" applyAlignment="1" pivotButton="0" quotePrefix="0" xfId="0">
      <alignment horizontal="center" vertical="center"/>
    </xf>
    <xf numFmtId="0" fontId="21" fillId="17" borderId="8" applyAlignment="1" pivotButton="0" quotePrefix="0" xfId="0">
      <alignment horizontal="left" vertical="center"/>
    </xf>
    <xf numFmtId="0" fontId="24" fillId="17" borderId="8" applyAlignment="1" pivotButton="0" quotePrefix="0" xfId="0">
      <alignment horizontal="center" vertical="center"/>
    </xf>
    <xf numFmtId="0" fontId="0" fillId="12" borderId="0" applyAlignment="1" pivotButton="0" quotePrefix="0" xfId="0">
      <alignment horizontal="left" vertical="center"/>
    </xf>
    <xf numFmtId="0" fontId="16" fillId="0" borderId="0" applyAlignment="1" pivotButton="0" quotePrefix="0" xfId="0">
      <alignment horizontal="left" vertical="center"/>
    </xf>
    <xf numFmtId="0" fontId="17" fillId="0" borderId="0" applyAlignment="1" pivotButton="0" quotePrefix="0" xfId="0">
      <alignment horizontal="left" vertical="center"/>
    </xf>
    <xf numFmtId="0" fontId="18" fillId="13" borderId="0" applyAlignment="1" pivotButton="0" quotePrefix="0" xfId="0">
      <alignment horizontal="center" vertical="center"/>
    </xf>
    <xf numFmtId="0" fontId="18" fillId="14" borderId="0" applyAlignment="1" pivotButton="0" quotePrefix="0" xfId="0">
      <alignment horizontal="center" vertical="center"/>
    </xf>
    <xf numFmtId="0" fontId="18" fillId="15" borderId="0" applyAlignment="1" pivotButton="0" quotePrefix="0" xfId="0">
      <alignment horizontal="center" vertical="center"/>
    </xf>
    <xf numFmtId="0" fontId="19" fillId="13" borderId="0" applyAlignment="1" pivotButton="0" quotePrefix="0" xfId="0">
      <alignment horizontal="center" vertical="center"/>
    </xf>
    <xf numFmtId="0" fontId="19" fillId="14" borderId="0" applyAlignment="1" pivotButton="0" quotePrefix="0" xfId="0">
      <alignment horizontal="center" vertical="center"/>
    </xf>
    <xf numFmtId="0" fontId="19" fillId="15" borderId="0" applyAlignment="1" pivotButton="0" quotePrefix="0" xfId="0">
      <alignment horizontal="center" vertical="center"/>
    </xf>
    <xf numFmtId="0" fontId="20" fillId="12" borderId="0" applyAlignment="1" pivotButton="0" quotePrefix="0" xfId="0">
      <alignment horizontal="left" vertical="center"/>
    </xf>
    <xf numFmtId="0" fontId="21" fillId="0" borderId="0" applyAlignment="1" pivotButton="0" quotePrefix="0" xfId="0">
      <alignment horizontal="left" vertical="center"/>
    </xf>
    <xf numFmtId="0" fontId="22" fillId="13" borderId="8" applyAlignment="1" pivotButton="0" quotePrefix="0" xfId="0">
      <alignment horizontal="left" vertical="center"/>
    </xf>
    <xf numFmtId="0" fontId="22" fillId="13" borderId="8" applyAlignment="1" pivotButton="0" quotePrefix="0" xfId="0">
      <alignment horizontal="right" vertical="center"/>
    </xf>
    <xf numFmtId="0" fontId="23" fillId="16" borderId="8" applyAlignment="1" pivotButton="0" quotePrefix="0" xfId="0">
      <alignment horizontal="left" vertical="center"/>
    </xf>
    <xf numFmtId="0" fontId="23" fillId="16" borderId="8" applyAlignment="1" pivotButton="0" quotePrefix="0" xfId="0">
      <alignment horizontal="right" vertical="center"/>
    </xf>
    <xf numFmtId="0" fontId="23" fillId="17" borderId="8" applyAlignment="1" pivotButton="0" quotePrefix="0" xfId="0">
      <alignment horizontal="left" vertical="center"/>
    </xf>
    <xf numFmtId="0" fontId="23" fillId="17" borderId="8" applyAlignment="1" pivotButton="0" quotePrefix="0" xfId="0">
      <alignment horizontal="right" vertical="center"/>
    </xf>
    <xf numFmtId="0" fontId="21" fillId="16" borderId="8" applyAlignment="1" pivotButton="0" quotePrefix="0" xfId="0">
      <alignment horizontal="left" vertical="center"/>
    </xf>
    <xf numFmtId="0" fontId="24" fillId="16" borderId="8" applyAlignment="1" pivotButton="0" quotePrefix="0" xfId="0">
      <alignment horizontal="center" vertical="center"/>
    </xf>
    <xf numFmtId="0" fontId="21" fillId="17" borderId="8" applyAlignment="1" pivotButton="0" quotePrefix="0" xfId="0">
      <alignment horizontal="left" vertical="center"/>
    </xf>
    <xf numFmtId="0" fontId="24" fillId="17" borderId="8" applyAlignment="1" pivotButton="0" quotePrefix="0" xfId="0">
      <alignment horizontal="center" vertical="center"/>
    </xf>
  </cellXfs>
  <cellStyles count="2">
    <cellStyle name="Normal" xfId="0" builtinId="0"/>
    <cellStyle name="Hyperlink" xfId="1" builtinId="8"/>
  </cellStyles>
  <tableStyles count="1" defaultTableStyle="TableStyleMedium9"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Obligations by Status</a:t>
            </a:r>
          </a:p>
        </rich>
      </tx>
    </title>
    <plotArea>
      <barChart>
        <barDir val="col"/>
        <grouping val="clustered"/>
        <ser>
          <idx val="0"/>
          <order val="0"/>
          <tx>
            <strRef>
              <f>'Dashboard'!D13</f>
            </strRef>
          </tx>
          <spPr>
            <a:solidFill xmlns:a="http://schemas.openxmlformats.org/drawingml/2006/main">
              <a:srgbClr val="78BE20"/>
            </a:solidFill>
            <a:ln xmlns:a="http://schemas.openxmlformats.org/drawingml/2006/main">
              <a:solidFill>
                <a:srgbClr val="78BE20"/>
              </a:solidFill>
              <a:prstDash val="solid"/>
            </a:ln>
          </spPr>
          <cat>
            <numRef>
              <f>'Dashboard'!$B$14:$B$18</f>
            </numRef>
          </cat>
          <val>
            <numRef>
              <f>'Dashboard'!$D$14:$D$18</f>
            </numRef>
          </val>
        </ser>
        <dLbls>
          <showVal val="1"/>
          <showCatName val="0"/>
          <showSerName val="0"/>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Obligations by Risk</a:t>
            </a:r>
          </a:p>
        </rich>
      </tx>
    </title>
    <plotArea>
      <pieChart>
        <varyColors val="1"/>
        <ser>
          <idx val="0"/>
          <order val="0"/>
          <tx>
            <strRef>
              <f>'Dashboard'!H13</f>
            </strRef>
          </tx>
          <spPr>
            <a:ln xmlns:a="http://schemas.openxmlformats.org/drawingml/2006/main">
              <a:prstDash val="solid"/>
            </a:ln>
          </spPr>
          <dPt>
            <idx val="0"/>
            <spPr>
              <a:solidFill xmlns:a="http://schemas.openxmlformats.org/drawingml/2006/main">
                <a:srgbClr val="C0392B"/>
              </a:solidFill>
              <a:ln xmlns:a="http://schemas.openxmlformats.org/drawingml/2006/main">
                <a:noFill/>
                <a:prstDash val="solid"/>
              </a:ln>
            </spPr>
          </dPt>
          <dPt>
            <idx val="1"/>
            <spPr>
              <a:solidFill xmlns:a="http://schemas.openxmlformats.org/drawingml/2006/main">
                <a:srgbClr val="D4820A"/>
              </a:solidFill>
              <a:ln xmlns:a="http://schemas.openxmlformats.org/drawingml/2006/main">
                <a:noFill/>
                <a:prstDash val="solid"/>
              </a:ln>
            </spPr>
          </dPt>
          <dPt>
            <idx val="2"/>
            <spPr>
              <a:solidFill xmlns:a="http://schemas.openxmlformats.org/drawingml/2006/main">
                <a:srgbClr val="27AE60"/>
              </a:solidFill>
              <a:ln xmlns:a="http://schemas.openxmlformats.org/drawingml/2006/main">
                <a:noFill/>
                <a:prstDash val="solid"/>
              </a:ln>
            </spPr>
          </dPt>
          <cat>
            <numRef>
              <f>'Dashboard'!$F$14:$F$16</f>
            </numRef>
          </cat>
          <val>
            <numRef>
              <f>'Dashboard'!$H$14:$H$16</f>
            </numRef>
          </val>
        </ser>
        <dLbls>
          <dLbl>
            <idx val="2"/>
            <showLegendKey val="0"/>
            <showVal val="0"/>
            <showCatName val="0"/>
            <showSerName val="0"/>
            <showPercent val="0"/>
            <showBubbleSize val="0"/>
          </dLbl>
          <showVal val="0"/>
          <showCatName val="1"/>
          <showSerName val="0"/>
          <showPercent val="1"/>
        </dLbls>
        <firstSliceAng val="0"/>
      </pieChart>
    </plotArea>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Obligations by Theme</a:t>
            </a:r>
          </a:p>
        </rich>
      </tx>
    </title>
    <plotArea>
      <barChart>
        <barDir val="bar"/>
        <grouping val="clustered"/>
        <ser>
          <idx val="0"/>
          <order val="0"/>
          <tx>
            <strRef>
              <f>'Dashboard'!L13</f>
            </strRef>
          </tx>
          <spPr>
            <a:solidFill xmlns:a="http://schemas.openxmlformats.org/drawingml/2006/main">
              <a:srgbClr val="00205B"/>
            </a:solidFill>
            <a:ln xmlns:a="http://schemas.openxmlformats.org/drawingml/2006/main">
              <a:solidFill>
                <a:srgbClr val="00205B"/>
              </a:solidFill>
              <a:prstDash val="solid"/>
            </a:ln>
          </spPr>
          <cat>
            <numRef>
              <f>'Dashboard'!$J$14:$J$18</f>
            </numRef>
          </cat>
          <val>
            <numRef>
              <f>'Dashboard'!$L$14:$L$18</f>
            </numRef>
          </val>
        </ser>
        <dLbls>
          <showVal val="1"/>
          <showCatName val="0"/>
          <showSerName val="0"/>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1</col>
      <colOff>0</colOff>
      <row>19</row>
      <rowOff>0</rowOff>
    </from>
    <ext cx="3790949" cy="30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19</row>
      <rowOff>0</rowOff>
    </from>
    <ext cx="3790949" cy="30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9</col>
      <colOff>0</colOff>
      <row>19</row>
      <rowOff>0</rowOff>
    </from>
    <ext cx="3790949" cy="306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hyperlink" Target="https://bills.parliament.uk/bills/4002" TargetMode="External" Id="rId1"/><Relationship Type="http://schemas.openxmlformats.org/officeDocument/2006/relationships/hyperlink" Target="https://committee.nottinghamcity.gov.uk/ieListDocuments.aspx?CId=1175&amp;MId=11731&amp;Ver=4" TargetMode="External" Id="rId2"/><Relationship Type="http://schemas.openxmlformats.org/officeDocument/2006/relationships/hyperlink" Target="https://www.psaa.co.uk/2026/05/psaa-appoints-adrian-lythgo-as-new-board-member/" TargetMode="External" Id="rId3"/><Relationship Type="http://schemas.openxmlformats.org/officeDocument/2006/relationships/hyperlink" Target="https://assets.publishing.service.gov.uk/media/6a58d3105ca06bf11ccb42f9/Local_government_reorganisation_-_decision_letter_to_Nottinghamshire_and_Nottingham_council_leaders.pdf" TargetMode="External" Id="rId4"/></Relationships>
</file>

<file path=xl/worksheets/sheet1.xml><?xml version="1.0" encoding="utf-8"?>
<worksheet xmlns="http://schemas.openxmlformats.org/spreadsheetml/2006/main">
  <sheetPr>
    <outlinePr summaryBelow="1" summaryRight="1"/>
    <pageSetUpPr/>
  </sheetPr>
  <dimension ref="A2:M58"/>
  <sheetViews>
    <sheetView showGridLines="0" zoomScale="85" workbookViewId="0">
      <selection activeCell="A1" sqref="A1"/>
    </sheetView>
  </sheetViews>
  <sheetFormatPr baseColWidth="8" defaultRowHeight="15"/>
  <cols>
    <col width="3" customWidth="1" style="28" min="1" max="1"/>
    <col width="14" customWidth="1" style="28" min="2" max="2"/>
    <col width="14" customWidth="1" style="28" min="3" max="3"/>
    <col width="14" customWidth="1" style="28" min="4" max="4"/>
    <col width="14" customWidth="1" style="28" min="5" max="5"/>
    <col width="14" customWidth="1" style="28" min="6" max="6"/>
    <col width="14" customWidth="1" style="28" min="7" max="7"/>
    <col width="14" customWidth="1" style="28" min="8" max="8"/>
    <col width="14" customWidth="1" style="28" min="9" max="9"/>
    <col width="14" customWidth="1" style="28" min="10" max="10"/>
    <col width="14" customWidth="1" style="28" min="11" max="11"/>
    <col width="14" customWidth="1" style="28" min="12" max="12"/>
    <col width="14" customWidth="1" style="28" min="13" max="13"/>
  </cols>
  <sheetData>
    <row r="1" ht="8" customHeight="1" s="28"/>
    <row r="2" ht="4" customHeight="1" s="28">
      <c r="A2" s="138" t="n"/>
      <c r="B2" s="138" t="n"/>
      <c r="C2" s="138" t="n"/>
      <c r="D2" s="138" t="n"/>
      <c r="E2" s="138" t="n"/>
      <c r="F2" s="138" t="n"/>
      <c r="G2" s="138" t="n"/>
      <c r="H2" s="138" t="n"/>
      <c r="I2" s="138" t="n"/>
      <c r="J2" s="138" t="n"/>
      <c r="K2" s="138" t="n"/>
      <c r="L2" s="138" t="n"/>
      <c r="M2" s="138" t="n"/>
    </row>
    <row r="3" ht="30" customHeight="1" s="28">
      <c r="B3" s="139" t="inlineStr">
        <is>
          <t>NCC Audit Reform and LGR Obligations Tracker</t>
        </is>
      </c>
    </row>
    <row r="4" ht="16" customHeight="1" s="28">
      <c r="B4" s="140" t="inlineStr">
        <is>
          <t>Live status snapshot  ·  Refreshed 04 August 2026</t>
        </is>
      </c>
    </row>
    <row r="5" ht="12" customHeight="1" s="28"/>
    <row r="6" ht="6" customHeight="1" s="28">
      <c r="B6" s="138" t="n"/>
      <c r="E6" s="138" t="n"/>
      <c r="H6" s="138" t="n"/>
      <c r="K6" s="138" t="n"/>
    </row>
    <row r="7" ht="44" customHeight="1" s="28">
      <c r="B7" s="141" t="n">
        <v>22</v>
      </c>
      <c r="E7" s="142" t="n">
        <v>5</v>
      </c>
      <c r="H7" s="143" t="n">
        <v>0</v>
      </c>
      <c r="K7" s="143" t="n">
        <v>1</v>
      </c>
    </row>
    <row r="8" ht="18" customHeight="1" s="28">
      <c r="B8" s="144" t="inlineStr">
        <is>
          <t>OBLIGATIONS</t>
        </is>
      </c>
      <c r="E8" s="145" t="inlineStr">
        <is>
          <t>OVERDUE</t>
        </is>
      </c>
      <c r="H8" s="146" t="inlineStr">
        <is>
          <t>DUE IN 30 DAYS</t>
        </is>
      </c>
      <c r="K8" s="146" t="inlineStr">
        <is>
          <t>COMPLETE</t>
        </is>
      </c>
    </row>
    <row r="9" ht="14" customHeight="1" s="28"/>
    <row r="10" ht="20" customHeight="1" s="28">
      <c r="B10" s="147" t="inlineStr">
        <is>
          <t xml:space="preserve">  OBLIGATIONS OVERVIEW</t>
        </is>
      </c>
    </row>
    <row r="11" ht="8" customHeight="1" s="28"/>
    <row r="12" ht="16" customHeight="1" s="28">
      <c r="B12" s="148" t="inlineStr">
        <is>
          <t>Obligations by Status</t>
        </is>
      </c>
      <c r="F12" s="148" t="inlineStr">
        <is>
          <t>Obligations by Risk</t>
        </is>
      </c>
      <c r="J12" s="148" t="inlineStr">
        <is>
          <t>Obligations by Theme</t>
        </is>
      </c>
    </row>
    <row r="13" ht="18" customHeight="1" s="28">
      <c r="B13" s="149" t="inlineStr">
        <is>
          <t>Status</t>
        </is>
      </c>
      <c r="C13" s="60" t="n"/>
      <c r="D13" s="150" t="inlineStr">
        <is>
          <t>Count</t>
        </is>
      </c>
      <c r="F13" s="149" t="inlineStr">
        <is>
          <t>Risk Rating</t>
        </is>
      </c>
      <c r="G13" s="60" t="n"/>
      <c r="H13" s="150" t="inlineStr">
        <is>
          <t>Count</t>
        </is>
      </c>
      <c r="J13" s="149" t="inlineStr">
        <is>
          <t>Theme</t>
        </is>
      </c>
      <c r="K13" s="60" t="n"/>
      <c r="L13" s="150" t="inlineStr">
        <is>
          <t>Count</t>
        </is>
      </c>
    </row>
    <row r="14" ht="16" customHeight="1" s="28">
      <c r="B14" s="151" t="inlineStr">
        <is>
          <t>Not started</t>
        </is>
      </c>
      <c r="C14" s="60" t="n"/>
      <c r="D14" s="152" t="n">
        <v>3</v>
      </c>
      <c r="F14" s="151" t="inlineStr">
        <is>
          <t>High</t>
        </is>
      </c>
      <c r="G14" s="60" t="n"/>
      <c r="H14" s="152" t="n">
        <v>17</v>
      </c>
      <c r="J14" s="151" t="inlineStr">
        <is>
          <t>Governance and Transparency</t>
        </is>
      </c>
      <c r="K14" s="60" t="n"/>
      <c r="L14" s="152" t="n">
        <v>9</v>
      </c>
    </row>
    <row r="15" ht="16" customHeight="1" s="28">
      <c r="B15" s="153" t="inlineStr">
        <is>
          <t>In progress</t>
        </is>
      </c>
      <c r="C15" s="60" t="n"/>
      <c r="D15" s="154" t="n">
        <v>10</v>
      </c>
      <c r="F15" s="153" t="inlineStr">
        <is>
          <t>Medium</t>
        </is>
      </c>
      <c r="G15" s="60" t="n"/>
      <c r="H15" s="154" t="n">
        <v>5</v>
      </c>
      <c r="J15" s="153" t="inlineStr">
        <is>
          <t>LGR Transition</t>
        </is>
      </c>
      <c r="K15" s="60" t="n"/>
      <c r="L15" s="154" t="n">
        <v>7</v>
      </c>
    </row>
    <row r="16" ht="16" customHeight="1" s="28">
      <c r="B16" s="151" t="inlineStr">
        <is>
          <t>Complete</t>
        </is>
      </c>
      <c r="C16" s="60" t="n"/>
      <c r="D16" s="152" t="n">
        <v>1</v>
      </c>
      <c r="F16" s="151" t="inlineStr">
        <is>
          <t>Low</t>
        </is>
      </c>
      <c r="G16" s="60" t="n"/>
      <c r="H16" s="152" t="n">
        <v>0</v>
      </c>
      <c r="J16" s="151" t="inlineStr">
        <is>
          <t>Financial Reporting</t>
        </is>
      </c>
      <c r="K16" s="60" t="n"/>
      <c r="L16" s="152" t="n">
        <v>3</v>
      </c>
    </row>
    <row r="17" ht="16" customHeight="1" s="28">
      <c r="B17" s="153" t="inlineStr">
        <is>
          <t>Blocked</t>
        </is>
      </c>
      <c r="C17" s="60" t="n"/>
      <c r="D17" s="154" t="n">
        <v>0</v>
      </c>
      <c r="J17" s="153" t="inlineStr">
        <is>
          <t>Audit Procurement</t>
        </is>
      </c>
      <c r="K17" s="60" t="n"/>
      <c r="L17" s="154" t="n">
        <v>2</v>
      </c>
    </row>
    <row r="18" ht="16" customHeight="1" s="28">
      <c r="B18" s="151" t="inlineStr">
        <is>
          <t>Ongoing</t>
        </is>
      </c>
      <c r="C18" s="60" t="n"/>
      <c r="D18" s="152" t="n">
        <v>8</v>
      </c>
      <c r="J18" s="151" t="inlineStr">
        <is>
          <t>Internal Controls</t>
        </is>
      </c>
      <c r="K18" s="60" t="n"/>
      <c r="L18" s="152" t="n">
        <v>1</v>
      </c>
    </row>
    <row r="19" ht="14" customHeight="1" s="28"/>
    <row r="20" ht="15" customHeight="1" s="28"/>
    <row r="21" ht="15" customHeight="1" s="28"/>
    <row r="22" ht="15" customHeight="1" s="28"/>
    <row r="23" ht="15" customHeight="1" s="28"/>
    <row r="24" ht="15" customHeight="1" s="28"/>
    <row r="25" ht="15" customHeight="1" s="28"/>
    <row r="26" ht="15" customHeight="1" s="28"/>
    <row r="27" ht="15" customHeight="1" s="28"/>
    <row r="28" ht="15" customHeight="1" s="28"/>
    <row r="29" ht="15" customHeight="1" s="28"/>
    <row r="30" ht="15" customHeight="1" s="28"/>
    <row r="31" ht="15" customHeight="1" s="28"/>
    <row r="32" ht="15" customHeight="1" s="28"/>
    <row r="33" ht="15" customHeight="1" s="28"/>
    <row r="34" ht="15" customHeight="1" s="28"/>
    <row r="35" ht="15" customHeight="1" s="28"/>
    <row r="36" ht="15" customHeight="1" s="28"/>
    <row r="37" ht="14" customHeight="1" s="28"/>
    <row r="38" ht="20" customHeight="1" s="28">
      <c r="B38" s="147" t="inlineStr">
        <is>
          <t xml:space="preserve">  ACTIONS &amp; INTELLIGENCE FEED</t>
        </is>
      </c>
    </row>
    <row r="39" ht="8" customHeight="1" s="28"/>
    <row r="40" ht="18" customHeight="1" s="28">
      <c r="B40" s="149" t="inlineStr">
        <is>
          <t>Action Summary</t>
        </is>
      </c>
      <c r="C40" s="60" t="n"/>
      <c r="D40" s="150" t="inlineStr">
        <is>
          <t>Count</t>
        </is>
      </c>
      <c r="F40" s="149" t="inlineStr">
        <is>
          <t>Intelligence Feed</t>
        </is>
      </c>
      <c r="G40" s="60" t="n"/>
      <c r="H40" s="150" t="inlineStr">
        <is>
          <t>Count</t>
        </is>
      </c>
    </row>
    <row r="41" ht="16" customHeight="1" s="28">
      <c r="B41" s="151" t="inlineStr">
        <is>
          <t>Total actions</t>
        </is>
      </c>
      <c r="C41" s="60" t="n"/>
      <c r="D41" s="152" t="n">
        <v>34</v>
      </c>
      <c r="F41" s="151" t="inlineStr">
        <is>
          <t>Items captured</t>
        </is>
      </c>
      <c r="G41" s="60" t="n"/>
      <c r="H41" s="152" t="n">
        <v>208</v>
      </c>
    </row>
    <row r="42" ht="16" customHeight="1" s="28">
      <c r="B42" s="153" t="inlineStr">
        <is>
          <t>In progress</t>
        </is>
      </c>
      <c r="C42" s="60" t="n"/>
      <c r="D42" s="154" t="n">
        <v>10</v>
      </c>
      <c r="F42" s="153" t="inlineStr">
        <is>
          <t>Flagged material</t>
        </is>
      </c>
      <c r="G42" s="60" t="n"/>
      <c r="H42" s="154" t="n">
        <v>65</v>
      </c>
    </row>
    <row r="43" ht="16" customHeight="1" s="28">
      <c r="B43" s="151" t="inlineStr">
        <is>
          <t>Complete</t>
        </is>
      </c>
      <c r="C43" s="60" t="n"/>
      <c r="D43" s="152" t="n">
        <v>1</v>
      </c>
      <c r="F43" s="151" t="inlineStr">
        <is>
          <t>Material (last 30 days)</t>
        </is>
      </c>
      <c r="G43" s="60" t="n"/>
      <c r="H43" s="152" t="n">
        <v>35</v>
      </c>
    </row>
    <row r="44" ht="16" customHeight="1" s="28">
      <c r="B44" s="153" t="inlineStr">
        <is>
          <t>Overdue</t>
        </is>
      </c>
      <c r="C44" s="60" t="n"/>
      <c r="D44" s="154" t="n">
        <v>7</v>
      </c>
      <c r="F44" s="153" t="inlineStr">
        <is>
          <t>Awaiting review</t>
        </is>
      </c>
      <c r="G44" s="60" t="n"/>
      <c r="H44" s="154" t="n">
        <v>134</v>
      </c>
    </row>
    <row r="45" ht="16" customHeight="1" s="28">
      <c r="B45" s="151" t="inlineStr">
        <is>
          <t>Avg. progress</t>
        </is>
      </c>
      <c r="C45" s="60" t="n"/>
      <c r="D45" s="152" t="inlineStr">
        <is>
          <t>7%</t>
        </is>
      </c>
    </row>
    <row r="46" ht="16" customHeight="1" s="28">
      <c r="B46" s="153" t="inlineStr">
        <is>
          <t>Evidence coverage</t>
        </is>
      </c>
      <c r="C46" s="60" t="n"/>
      <c r="D46" s="154" t="inlineStr">
        <is>
          <t>29% (10/34)</t>
        </is>
      </c>
    </row>
    <row r="47" ht="16" customHeight="1" s="28">
      <c r="B47" s="151" t="inlineStr">
        <is>
          <t>Evidence at completion</t>
        </is>
      </c>
      <c r="C47" s="60" t="n"/>
      <c r="D47" s="152" t="inlineStr">
        <is>
          <t>100%</t>
        </is>
      </c>
    </row>
    <row r="48" ht="14" customHeight="1" s="28"/>
    <row r="49" ht="20" customHeight="1" s="28">
      <c r="B49" s="147" t="inlineStr">
        <is>
          <t xml:space="preserve">  ATTENTION NEEDED</t>
        </is>
      </c>
    </row>
    <row r="50" ht="8" customHeight="1" s="28"/>
    <row r="51" ht="18" customHeight="1" s="28">
      <c r="B51" s="149" t="inlineStr">
        <is>
          <t>ID</t>
        </is>
      </c>
      <c r="C51" s="149" t="inlineStr">
        <is>
          <t>Obligation</t>
        </is>
      </c>
      <c r="D51" s="66" t="n"/>
      <c r="E51" s="66" t="n"/>
      <c r="F51" s="66" t="n"/>
      <c r="G51" s="66" t="n"/>
      <c r="H51" s="60" t="n"/>
      <c r="I51" s="149" t="inlineStr">
        <is>
          <t>Owner</t>
        </is>
      </c>
      <c r="J51" s="66" t="n"/>
      <c r="K51" s="60" t="n"/>
      <c r="L51" s="149" t="inlineStr">
        <is>
          <t>Target</t>
        </is>
      </c>
      <c r="M51" s="149" t="inlineStr">
        <is>
          <t>Flag</t>
        </is>
      </c>
    </row>
    <row r="52" ht="34" customHeight="1" s="28">
      <c r="B52" s="155" t="inlineStr">
        <is>
          <t>OB-A2</t>
        </is>
      </c>
      <c r="C52" s="68" t="inlineStr">
        <is>
          <t>NCC must prepare and agree the Continuous Service Improvement Plan (CSIP) with the Ministerial Envoys within three months of the 24 March 2026 directions.</t>
        </is>
      </c>
      <c r="D52" s="66" t="n"/>
      <c r="E52" s="66" t="n"/>
      <c r="F52" s="66" t="n"/>
      <c r="G52" s="66" t="n"/>
      <c r="H52" s="60" t="n"/>
      <c r="I52" s="68" t="inlineStr">
        <is>
          <t>Sajeeda Rose (Chief Executive)</t>
        </is>
      </c>
      <c r="J52" s="66" t="n"/>
      <c r="K52" s="60" t="n"/>
      <c r="L52" s="151" t="inlineStr">
        <is>
          <t>24 Jun 2026</t>
        </is>
      </c>
      <c r="M52" s="156" t="inlineStr">
        <is>
          <t>Overdue</t>
        </is>
      </c>
    </row>
    <row r="53" ht="34" customHeight="1" s="28">
      <c r="B53" s="157" t="inlineStr">
        <is>
          <t>OB-A7</t>
        </is>
      </c>
      <c r="C53" s="71" t="inlineStr">
        <is>
          <t>NCC must respond to each recommendation in the external auditor's Annual Report and Audit Findings (ISA 260).</t>
        </is>
      </c>
      <c r="D53" s="66" t="n"/>
      <c r="E53" s="66" t="n"/>
      <c r="F53" s="66" t="n"/>
      <c r="G53" s="66" t="n"/>
      <c r="H53" s="60" t="n"/>
      <c r="I53" s="71" t="inlineStr">
        <is>
          <t>Gareth Robinson (Director of Finance)</t>
        </is>
      </c>
      <c r="J53" s="66" t="n"/>
      <c r="K53" s="60" t="n"/>
      <c r="L53" s="153" t="inlineStr">
        <is>
          <t>31 Jul 2026</t>
        </is>
      </c>
      <c r="M53" s="158" t="inlineStr">
        <is>
          <t>Overdue</t>
        </is>
      </c>
    </row>
    <row r="54" ht="34" customHeight="1" s="28">
      <c r="B54" s="155" t="inlineStr">
        <is>
          <t>OB-A9</t>
        </is>
      </c>
      <c r="C54" s="68" t="inlineStr">
        <is>
          <t>NCC must produce and publish an Annual Governance Statement reflecting the council's current governance position and any significant weaknesses.</t>
        </is>
      </c>
      <c r="D54" s="66" t="n"/>
      <c r="E54" s="66" t="n"/>
      <c r="F54" s="66" t="n"/>
      <c r="G54" s="66" t="n"/>
      <c r="H54" s="60" t="n"/>
      <c r="I54" s="68" t="inlineStr">
        <is>
          <t>Beth Brown (Strategic Director of Legal and Governance)</t>
        </is>
      </c>
      <c r="J54" s="66" t="n"/>
      <c r="K54" s="60" t="n"/>
      <c r="L54" s="151" t="inlineStr">
        <is>
          <t>31 Jul 2026</t>
        </is>
      </c>
      <c r="M54" s="156" t="inlineStr">
        <is>
          <t>Overdue</t>
        </is>
      </c>
    </row>
    <row r="55" ht="34" customHeight="1" s="28">
      <c r="B55" s="157" t="inlineStr">
        <is>
          <t>OB-A11</t>
        </is>
      </c>
      <c r="C55" s="71" t="inlineStr">
        <is>
          <t>NCC must progress the open items on the Audit Committee Recommendation Tracker through to completion (see linked actions OB-A11.1, .2, .3).</t>
        </is>
      </c>
      <c r="D55" s="66" t="n"/>
      <c r="E55" s="66" t="n"/>
      <c r="F55" s="66" t="n"/>
      <c r="G55" s="66" t="n"/>
      <c r="H55" s="60" t="n"/>
      <c r="I55" s="71" t="inlineStr">
        <is>
          <t>Kate Morris (Scrutiny and Audit Support Officer)</t>
        </is>
      </c>
      <c r="J55" s="66" t="n"/>
      <c r="K55" s="60" t="n"/>
      <c r="L55" s="153" t="inlineStr">
        <is>
          <t>31 Jul 2026</t>
        </is>
      </c>
      <c r="M55" s="158" t="inlineStr">
        <is>
          <t>Overdue</t>
        </is>
      </c>
    </row>
    <row r="56" ht="34" customHeight="1" s="28">
      <c r="B56" s="155" t="inlineStr">
        <is>
          <t>OB-L5</t>
        </is>
      </c>
      <c r="C56" s="68" t="inlineStr">
        <is>
          <t>NCC must review its governance, audit committee arrangements, and successor body governance in light of the English Devolution and Community Empowerment Act 20…</t>
        </is>
      </c>
      <c r="D56" s="66" t="n"/>
      <c r="E56" s="66" t="n"/>
      <c r="F56" s="66" t="n"/>
      <c r="G56" s="66" t="n"/>
      <c r="H56" s="60" t="n"/>
      <c r="I56" s="68" t="inlineStr">
        <is>
          <t>Beth Brown (Strategic Director of Legal and Governance)</t>
        </is>
      </c>
      <c r="J56" s="66" t="n"/>
      <c r="K56" s="60" t="n"/>
      <c r="L56" s="151" t="inlineStr">
        <is>
          <t>31 Jul 2026</t>
        </is>
      </c>
      <c r="M56" s="156" t="inlineStr">
        <is>
          <t>Overdue</t>
        </is>
      </c>
    </row>
    <row r="57" ht="10" customHeight="1" s="28"/>
    <row r="58" ht="4" customHeight="1" s="28">
      <c r="A58" s="138" t="n"/>
      <c r="B58" s="138" t="n"/>
      <c r="C58" s="138" t="n"/>
      <c r="D58" s="138" t="n"/>
      <c r="E58" s="138" t="n"/>
      <c r="F58" s="138" t="n"/>
      <c r="G58" s="138" t="n"/>
      <c r="H58" s="138" t="n"/>
      <c r="I58" s="138" t="n"/>
      <c r="J58" s="138" t="n"/>
      <c r="K58" s="138" t="n"/>
      <c r="L58" s="138" t="n"/>
      <c r="M58" s="138" t="n"/>
    </row>
  </sheetData>
  <mergeCells count="61">
    <mergeCell ref="I54:K54"/>
    <mergeCell ref="B47:C47"/>
    <mergeCell ref="B16:C16"/>
    <mergeCell ref="C54:H54"/>
    <mergeCell ref="C55:H55"/>
    <mergeCell ref="F16:G16"/>
    <mergeCell ref="B8:D8"/>
    <mergeCell ref="J14:K14"/>
    <mergeCell ref="I53:K53"/>
    <mergeCell ref="B46:C46"/>
    <mergeCell ref="I56:K56"/>
    <mergeCell ref="B18:C18"/>
    <mergeCell ref="J13:K13"/>
    <mergeCell ref="F40:G40"/>
    <mergeCell ref="C56:H56"/>
    <mergeCell ref="H7:J7"/>
    <mergeCell ref="E6:G6"/>
    <mergeCell ref="B12:C12"/>
    <mergeCell ref="B43:C43"/>
    <mergeCell ref="B38:M38"/>
    <mergeCell ref="K8:M8"/>
    <mergeCell ref="C51:H51"/>
    <mergeCell ref="F12:G12"/>
    <mergeCell ref="B10:M10"/>
    <mergeCell ref="I55:K55"/>
    <mergeCell ref="F15:G15"/>
    <mergeCell ref="I52:K52"/>
    <mergeCell ref="C52:H52"/>
    <mergeCell ref="J15:K15"/>
    <mergeCell ref="B42:C42"/>
    <mergeCell ref="B14:C14"/>
    <mergeCell ref="F42:G42"/>
    <mergeCell ref="B17:C17"/>
    <mergeCell ref="B49:M49"/>
    <mergeCell ref="F41:G41"/>
    <mergeCell ref="E7:G7"/>
    <mergeCell ref="B6:D6"/>
    <mergeCell ref="K7:M7"/>
    <mergeCell ref="I51:K51"/>
    <mergeCell ref="B13:C13"/>
    <mergeCell ref="B44:C44"/>
    <mergeCell ref="K6:M6"/>
    <mergeCell ref="J16:K16"/>
    <mergeCell ref="C53:H53"/>
    <mergeCell ref="H8:J8"/>
    <mergeCell ref="F13:G13"/>
    <mergeCell ref="B40:C40"/>
    <mergeCell ref="B7:D7"/>
    <mergeCell ref="B4:M4"/>
    <mergeCell ref="F43:G43"/>
    <mergeCell ref="B15:C15"/>
    <mergeCell ref="J12:K12"/>
    <mergeCell ref="B3:M3"/>
    <mergeCell ref="E8:G8"/>
    <mergeCell ref="B45:C45"/>
    <mergeCell ref="J18:K18"/>
    <mergeCell ref="F14:G14"/>
    <mergeCell ref="F44:G44"/>
    <mergeCell ref="B41:C41"/>
    <mergeCell ref="J17:K17"/>
    <mergeCell ref="H6:J6"/>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209"/>
  <sheetViews>
    <sheetView topLeftCell="A1" workbookViewId="0">
      <pane xSplit="2" ySplit="1" topLeftCell="C2" activePane="bottomRight" state="frozen"/>
      <selection pane="topRight" activeCell="A1" sqref="A1"/>
      <selection pane="bottomLeft" activeCell="A1" sqref="A1"/>
      <selection pane="bottomRight" activeCell="C2" sqref="C2"/>
      <selection pane="bottomLeft" activeCell="A1" sqref="A1"/>
      <selection pane="bottomRight" activeCell="C2" sqref="C2"/>
      <selection pane="bottomLeft" activeCell="A1" sqref="A1"/>
      <selection pane="bottomRight" activeCell="C2" sqref="C2"/>
      <selection pane="bottomLeft" activeCell="A1" sqref="A1"/>
      <selection pane="bottomRight" activeCell="C2" sqref="C2"/>
      <selection pane="bottomLeft" activeCell="A1" sqref="A1"/>
      <selection pane="bottomRight" activeCell="C2" sqref="C2"/>
      <selection pane="bottomLeft" activeCell="A1" sqref="A1"/>
      <selection pane="bottomRight" activeCell="C2" sqref="C2"/>
      <selection pane="bottomLeft" activeCell="A1" sqref="A1"/>
      <selection pane="bottomRight" activeCell="C2" sqref="C2"/>
      <selection pane="bottomLeft" activeCell="A1" sqref="A1"/>
      <selection pane="bottomRight" activeCell="C2" sqref="C2"/>
      <selection pane="bottomLeft" activeCell="A1" sqref="A1"/>
      <selection pane="bottomRight" activeCell="C2" sqref="C2"/>
    </sheetView>
  </sheetViews>
  <sheetFormatPr baseColWidth="8" defaultRowHeight="14.4"/>
  <cols>
    <col width="11" customWidth="1" style="28" min="1" max="1"/>
    <col width="46" customWidth="1" style="28" min="2" max="2"/>
    <col width="16" customWidth="1" style="28" min="3" max="3"/>
    <col width="14" customWidth="1" style="28" min="4" max="4"/>
    <col width="10" customWidth="1" style="28" min="5" max="5"/>
    <col width="9" customWidth="1" style="28" min="6" max="6"/>
    <col width="18" customWidth="1" style="28" min="7" max="7"/>
    <col width="16" customWidth="1" style="28" min="8" max="8"/>
    <col width="26" customWidth="1" style="28" min="9" max="9"/>
    <col width="9" customWidth="1" style="28" min="10" max="10"/>
    <col width="40" customWidth="1" style="28" min="11" max="11"/>
    <col hidden="1" width="12" customWidth="1" style="28" min="12" max="12"/>
    <col width="18" customWidth="1" style="28" min="13" max="13"/>
  </cols>
  <sheetData>
    <row r="1" ht="30" customHeight="1" s="28">
      <c r="A1" s="42" t="inlineStr">
        <is>
          <t>Date Found</t>
        </is>
      </c>
      <c r="B1" s="42" t="inlineStr">
        <is>
          <t>Title</t>
        </is>
      </c>
      <c r="C1" s="42" t="inlineStr">
        <is>
          <t>Source</t>
        </is>
      </c>
      <c r="D1" s="42" t="inlineStr">
        <is>
          <t>Category</t>
        </is>
      </c>
      <c r="E1" s="42" t="inlineStr">
        <is>
          <t>Published</t>
        </is>
      </c>
      <c r="F1" s="42" t="inlineStr">
        <is>
          <t>Material</t>
        </is>
      </c>
      <c r="G1" s="42" t="inlineStr">
        <is>
          <t>Matched</t>
        </is>
      </c>
      <c r="H1" s="42" t="inlineStr">
        <is>
          <t>Theme</t>
        </is>
      </c>
      <c r="I1" s="42" t="inlineStr">
        <is>
          <t>URL</t>
        </is>
      </c>
      <c r="J1" s="42" t="inlineStr">
        <is>
          <t>Reviewed</t>
        </is>
      </c>
      <c r="K1" s="42" t="inlineStr">
        <is>
          <t>Notes</t>
        </is>
      </c>
      <c r="L1" s="42" t="inlineStr">
        <is>
          <t>Hash</t>
        </is>
      </c>
      <c r="M1" s="42" t="inlineStr">
        <is>
          <t>Action Signal</t>
        </is>
      </c>
    </row>
    <row r="2" ht="40" customHeight="1" s="28">
      <c r="A2" s="43" t="inlineStr">
        <is>
          <t>2026-06-08</t>
        </is>
      </c>
      <c r="B2" s="44" t="inlineStr">
        <is>
          <t>Local Audit Office Chair: the government’s preferred candidate</t>
        </is>
      </c>
      <c r="C2" s="44" t="inlineStr">
        <is>
          <t>GOV.UK</t>
        </is>
      </c>
      <c r="D2" s="44" t="inlineStr">
        <is>
          <t>Correspondence</t>
        </is>
      </c>
      <c r="E2" s="43" t="inlineStr">
        <is>
          <t>2026-05-26</t>
        </is>
      </c>
      <c r="F2" s="43" t="inlineStr">
        <is>
          <t>Yes</t>
        </is>
      </c>
      <c r="G2" s="44" t="inlineStr">
        <is>
          <t>Audit; Manually elevated - material legislative/appointment development (Audit)</t>
        </is>
      </c>
      <c r="H2" s="44" t="inlineStr">
        <is>
          <t>Audit Procurement</t>
        </is>
      </c>
      <c r="I2" s="44" t="inlineStr">
        <is>
          <t>https://www.gov.uk/government/publications/local-audit-office-chair-the-governments-preferred-candidate</t>
        </is>
      </c>
      <c r="J2" s="43" t="inlineStr">
        <is>
          <t>Yes</t>
        </is>
      </c>
      <c r="K2" s="44" t="inlineStr">
        <is>
          <t>Tracked as OB-A10 / OB-A12 (LAO transition alignment).</t>
        </is>
      </c>
      <c r="L2" s="44" t="inlineStr">
        <is>
          <t>29225ec1a415a81cf231e2c32c5a19de</t>
        </is>
      </c>
      <c r="M2" s="44" t="n"/>
    </row>
    <row r="3" ht="40" customHeight="1" s="28">
      <c r="A3" s="45" t="inlineStr">
        <is>
          <t>2026-06-08</t>
        </is>
      </c>
      <c r="B3" s="46" t="inlineStr">
        <is>
          <t>Local government reorganisation: implementation guidance</t>
        </is>
      </c>
      <c r="C3" s="46" t="inlineStr">
        <is>
          <t>GOV.UK</t>
        </is>
      </c>
      <c r="D3" s="46" t="inlineStr">
        <is>
          <t>Guidance</t>
        </is>
      </c>
      <c r="E3" s="45" t="inlineStr">
        <is>
          <t>2026-05-21</t>
        </is>
      </c>
      <c r="F3" s="45" t="inlineStr">
        <is>
          <t>Unclear</t>
        </is>
      </c>
      <c r="G3" s="46" t="inlineStr">
        <is>
          <t>Transition</t>
        </is>
      </c>
      <c r="H3" s="46" t="inlineStr">
        <is>
          <t>LGR Transition</t>
        </is>
      </c>
      <c r="I3" s="46" t="inlineStr">
        <is>
          <t>https://www.gov.uk/government/publications/local-government-reorganisation-implementation-guidance</t>
        </is>
      </c>
      <c r="J3" s="45" t="inlineStr">
        <is>
          <t>Yes</t>
        </is>
      </c>
      <c r="K3" s="46" t="n"/>
      <c r="L3" s="46" t="inlineStr">
        <is>
          <t>774a562d1fcbe994282fb838ddc67712</t>
        </is>
      </c>
      <c r="M3" s="46" t="n"/>
    </row>
    <row r="4" ht="40" customHeight="1" s="28">
      <c r="A4" s="43" t="inlineStr">
        <is>
          <t>2026-06-08</t>
        </is>
      </c>
      <c r="B4" s="44" t="inlineStr">
        <is>
          <t>Local government reorganisation: Policy and programme updates</t>
        </is>
      </c>
      <c r="C4" s="44" t="inlineStr">
        <is>
          <t>GOV.UK</t>
        </is>
      </c>
      <c r="D4" s="44" t="inlineStr">
        <is>
          <t>Collection</t>
        </is>
      </c>
      <c r="E4" s="43" t="inlineStr">
        <is>
          <t>2026-03-12</t>
        </is>
      </c>
      <c r="F4" s="43" t="inlineStr">
        <is>
          <t>Unclear</t>
        </is>
      </c>
      <c r="G4" s="44" t="inlineStr">
        <is>
          <t>Transition</t>
        </is>
      </c>
      <c r="H4" s="44" t="inlineStr">
        <is>
          <t>LGR Transition</t>
        </is>
      </c>
      <c r="I4" s="44" t="inlineStr">
        <is>
          <t>https://www.gov.uk/government/collections/local-government-reorganisation-policy-and-programme-updates</t>
        </is>
      </c>
      <c r="J4" s="43" t="inlineStr">
        <is>
          <t>Yes</t>
        </is>
      </c>
      <c r="K4" s="44" t="n"/>
      <c r="L4" s="44" t="inlineStr">
        <is>
          <t>4d80bb6766cc36845f3aaa63ed38032e</t>
        </is>
      </c>
      <c r="M4" s="44" t="n"/>
    </row>
    <row r="5" ht="40" customHeight="1" s="28">
      <c r="A5" s="45" t="inlineStr">
        <is>
          <t>2026-06-08</t>
        </is>
      </c>
      <c r="B5" s="46" t="inlineStr">
        <is>
          <t>Nottinghamshire and Nottingham: Local government reorganisation</t>
        </is>
      </c>
      <c r="C5" s="46" t="inlineStr">
        <is>
          <t>GOV.UK</t>
        </is>
      </c>
      <c r="D5" s="46" t="inlineStr">
        <is>
          <t>Guidance</t>
        </is>
      </c>
      <c r="E5" s="45" t="inlineStr">
        <is>
          <t>2026-02-05</t>
        </is>
      </c>
      <c r="F5" s="45" t="inlineStr">
        <is>
          <t>Yes</t>
        </is>
      </c>
      <c r="G5" s="46" t="inlineStr">
        <is>
          <t>Local, Transition</t>
        </is>
      </c>
      <c r="H5" s="46" t="inlineStr">
        <is>
          <t>LGR Transition</t>
        </is>
      </c>
      <c r="I5" s="46" t="inlineStr">
        <is>
          <t>https://www.gov.uk/government/collections/nottinghamshire-and-nottingham-local-government-reorganisation</t>
        </is>
      </c>
      <c r="J5" s="45" t="inlineStr">
        <is>
          <t>Yes</t>
        </is>
      </c>
      <c r="K5" s="46" t="n"/>
      <c r="L5" s="46" t="inlineStr">
        <is>
          <t>438de41b33123f97381da2a9ae88434e</t>
        </is>
      </c>
      <c r="M5" s="46" t="n"/>
    </row>
    <row r="6" ht="40" customHeight="1" s="28">
      <c r="A6" s="43" t="inlineStr">
        <is>
          <t>2026-06-08</t>
        </is>
      </c>
      <c r="B6" s="44" t="inlineStr">
        <is>
          <t>Local government reorganisation: summary of feedback on interim plans</t>
        </is>
      </c>
      <c r="C6" s="44" t="inlineStr">
        <is>
          <t>GOV.UK</t>
        </is>
      </c>
      <c r="D6" s="44" t="inlineStr">
        <is>
          <t>Guidance</t>
        </is>
      </c>
      <c r="E6" s="43" t="inlineStr">
        <is>
          <t>2025-06-03</t>
        </is>
      </c>
      <c r="F6" s="43" t="inlineStr">
        <is>
          <t>Yes</t>
        </is>
      </c>
      <c r="G6" s="44" t="inlineStr">
        <is>
          <t>Transition</t>
        </is>
      </c>
      <c r="H6" s="44" t="inlineStr">
        <is>
          <t>LGR Transition</t>
        </is>
      </c>
      <c r="I6" s="44" t="inlineStr">
        <is>
          <t>https://www.gov.uk/government/publications/local-government-reorganisation-summary-of-feedback-on-interim-plans</t>
        </is>
      </c>
      <c r="J6" s="43" t="inlineStr">
        <is>
          <t>Yes</t>
        </is>
      </c>
      <c r="K6" s="44" t="n"/>
      <c r="L6" s="44" t="inlineStr">
        <is>
          <t>f9370765871b9fce3681e7465d2c31d4</t>
        </is>
      </c>
      <c r="M6" s="44" t="n"/>
    </row>
    <row r="7" ht="40" customHeight="1" s="28">
      <c r="A7" s="45" t="inlineStr">
        <is>
          <t>2026-06-08</t>
        </is>
      </c>
      <c r="B7" s="46" t="inlineStr">
        <is>
          <t>​​English Devolution White Paper​: Power and partnership: Foundations for growth</t>
        </is>
      </c>
      <c r="C7" s="46" t="inlineStr">
        <is>
          <t>GOV.UK</t>
        </is>
      </c>
      <c r="D7" s="46" t="inlineStr">
        <is>
          <t>Guidance</t>
        </is>
      </c>
      <c r="E7" s="45" t="inlineStr">
        <is>
          <t>2024-12-16</t>
        </is>
      </c>
      <c r="F7" s="45" t="inlineStr">
        <is>
          <t>Yes</t>
        </is>
      </c>
      <c r="G7" s="46" t="inlineStr">
        <is>
          <t>Transition; Manually elevated - material legislative/appointment development (LGR Transition / Audit)</t>
        </is>
      </c>
      <c r="H7" s="46" t="inlineStr">
        <is>
          <t>LGR Transition</t>
        </is>
      </c>
      <c r="I7" s="46" t="inlineStr">
        <is>
          <t>https://www.gov.uk/government/publications/english-devolution-white-paper-power-and-partnership-foundations-for-growth</t>
        </is>
      </c>
      <c r="J7" s="45" t="inlineStr">
        <is>
          <t>Yes</t>
        </is>
      </c>
      <c r="K7" s="46" t="inlineStr">
        <is>
          <t>Retained as foundational context for the 2026 Act; no separate obligation.</t>
        </is>
      </c>
      <c r="L7" s="46" t="inlineStr">
        <is>
          <t>95a642b258a7dc8e0061bfa8718344dc</t>
        </is>
      </c>
      <c r="M7" s="46" t="n"/>
    </row>
    <row r="8" ht="40" customHeight="1" s="28">
      <c r="A8" s="43" t="inlineStr">
        <is>
          <t>2026-06-08</t>
        </is>
      </c>
      <c r="B8" s="44" t="inlineStr">
        <is>
          <t>Local government reorganisation: update on Secretary of State's decision regarding local elections of May 2026</t>
        </is>
      </c>
      <c r="C8" s="44" t="inlineStr">
        <is>
          <t>GOV.UK</t>
        </is>
      </c>
      <c r="D8" s="44" t="inlineStr">
        <is>
          <t>Guidance</t>
        </is>
      </c>
      <c r="E8" s="43" t="inlineStr">
        <is>
          <t>2026-02-16</t>
        </is>
      </c>
      <c r="F8" s="43" t="inlineStr">
        <is>
          <t>Unclear</t>
        </is>
      </c>
      <c r="G8" s="44" t="inlineStr">
        <is>
          <t>Transition</t>
        </is>
      </c>
      <c r="H8" s="44" t="inlineStr">
        <is>
          <t>LGR Transition</t>
        </is>
      </c>
      <c r="I8" s="44" t="inlineStr">
        <is>
          <t>https://www.gov.uk/government/publications/local-government-reorganisation-update-on-secretary-of-states-decision-regarding-local-elections-of-may-2026</t>
        </is>
      </c>
      <c r="J8" s="43" t="inlineStr">
        <is>
          <t>Yes</t>
        </is>
      </c>
      <c r="K8" s="44" t="n"/>
      <c r="L8" s="44" t="inlineStr">
        <is>
          <t>8ef81633f5a750cb4c1ac14f8479b5df</t>
        </is>
      </c>
      <c r="M8" s="44" t="n"/>
    </row>
    <row r="9" ht="40" customHeight="1" s="28">
      <c r="A9" s="45" t="inlineStr">
        <is>
          <t>2026-06-08</t>
        </is>
      </c>
      <c r="B9" s="46" t="inlineStr">
        <is>
          <t>Local government reorganisation: further letters to councils on local elections in May 2026</t>
        </is>
      </c>
      <c r="C9" s="46" t="inlineStr">
        <is>
          <t>GOV.UK</t>
        </is>
      </c>
      <c r="D9" s="46" t="inlineStr">
        <is>
          <t>Guidance</t>
        </is>
      </c>
      <c r="E9" s="45" t="inlineStr">
        <is>
          <t>2026-01-29</t>
        </is>
      </c>
      <c r="F9" s="45" t="inlineStr">
        <is>
          <t>Unclear</t>
        </is>
      </c>
      <c r="G9" s="46" t="inlineStr">
        <is>
          <t>Transition</t>
        </is>
      </c>
      <c r="H9" s="46" t="inlineStr">
        <is>
          <t>LGR Transition</t>
        </is>
      </c>
      <c r="I9" s="46" t="inlineStr">
        <is>
          <t>https://www.gov.uk/government/publications/local-government-reorganisation-further-letters-to-councils-on-local-elections-in-may-2026</t>
        </is>
      </c>
      <c r="J9" s="45" t="inlineStr">
        <is>
          <t>Yes</t>
        </is>
      </c>
      <c r="K9" s="46" t="n"/>
      <c r="L9" s="46" t="inlineStr">
        <is>
          <t>f0ca28d88494d6a9496f00f5172c71a1</t>
        </is>
      </c>
      <c r="M9" s="46" t="n"/>
    </row>
    <row r="10" ht="40" customHeight="1" s="28">
      <c r="A10" s="43" t="inlineStr">
        <is>
          <t>2026-06-08</t>
        </is>
      </c>
      <c r="B10" s="44" t="inlineStr">
        <is>
          <t>​​​Local government reorganisation: further letter to council leaders with elections in May 2026</t>
        </is>
      </c>
      <c r="C10" s="44" t="inlineStr">
        <is>
          <t>GOV.UK</t>
        </is>
      </c>
      <c r="D10" s="44" t="inlineStr">
        <is>
          <t>Guidance</t>
        </is>
      </c>
      <c r="E10" s="43" t="inlineStr">
        <is>
          <t>2026-01-19</t>
        </is>
      </c>
      <c r="F10" s="43" t="inlineStr">
        <is>
          <t>Unclear</t>
        </is>
      </c>
      <c r="G10" s="44" t="inlineStr">
        <is>
          <t>Transition</t>
        </is>
      </c>
      <c r="H10" s="44" t="inlineStr">
        <is>
          <t>LGR Transition</t>
        </is>
      </c>
      <c r="I10" s="44" t="inlineStr">
        <is>
          <t>https://www.gov.uk/government/publications/local-government-reorganisation-further-letter-to-council-leaders-with-elections-in-may-2026</t>
        </is>
      </c>
      <c r="J10" s="43" t="inlineStr">
        <is>
          <t>Yes</t>
        </is>
      </c>
      <c r="K10" s="44" t="n"/>
      <c r="L10" s="44" t="inlineStr">
        <is>
          <t>ebf079237d298efbcef8d2e05ff2e464</t>
        </is>
      </c>
      <c r="M10" s="44" t="n"/>
    </row>
    <row r="11" ht="40" customHeight="1" s="28">
      <c r="A11" s="45" t="inlineStr">
        <is>
          <t>2026-06-08</t>
        </is>
      </c>
      <c r="B11" s="46" t="inlineStr">
        <is>
          <t>​​​Local government reorganisation: letter to council leaders with elections in May 2026</t>
        </is>
      </c>
      <c r="C11" s="46" t="inlineStr">
        <is>
          <t>GOV.UK</t>
        </is>
      </c>
      <c r="D11" s="46" t="inlineStr">
        <is>
          <t>Guidance</t>
        </is>
      </c>
      <c r="E11" s="45" t="inlineStr">
        <is>
          <t>2025-12-18</t>
        </is>
      </c>
      <c r="F11" s="45" t="inlineStr">
        <is>
          <t>Unclear</t>
        </is>
      </c>
      <c r="G11" s="46" t="inlineStr">
        <is>
          <t>Transition</t>
        </is>
      </c>
      <c r="H11" s="46" t="inlineStr">
        <is>
          <t>LGR Transition</t>
        </is>
      </c>
      <c r="I11" s="46" t="inlineStr">
        <is>
          <t>https://www.gov.uk/government/publications/local-government-reorganisation-letter-to-council-leaders-with-elections-in-may-2026</t>
        </is>
      </c>
      <c r="J11" s="45" t="inlineStr">
        <is>
          <t>Yes</t>
        </is>
      </c>
      <c r="K11" s="46" t="n"/>
      <c r="L11" s="46" t="inlineStr">
        <is>
          <t>c7adda5c60a04c17e302af0273366e2d</t>
        </is>
      </c>
      <c r="M11" s="46" t="n"/>
    </row>
    <row r="12" ht="40" customHeight="1" s="28">
      <c r="A12" s="43" t="inlineStr">
        <is>
          <t>2026-06-08</t>
        </is>
      </c>
      <c r="B12" s="44" t="inlineStr">
        <is>
          <t>Local government reorganisation: letter to leaders on publicity code</t>
        </is>
      </c>
      <c r="C12" s="44" t="inlineStr">
        <is>
          <t>GOV.UK</t>
        </is>
      </c>
      <c r="D12" s="44" t="inlineStr">
        <is>
          <t>Guidance</t>
        </is>
      </c>
      <c r="E12" s="43" t="inlineStr">
        <is>
          <t>2025-11-19</t>
        </is>
      </c>
      <c r="F12" s="43" t="inlineStr">
        <is>
          <t>Unclear</t>
        </is>
      </c>
      <c r="G12" s="44" t="inlineStr">
        <is>
          <t>Transition</t>
        </is>
      </c>
      <c r="H12" s="44" t="inlineStr">
        <is>
          <t>LGR Transition</t>
        </is>
      </c>
      <c r="I12" s="44" t="inlineStr">
        <is>
          <t>https://www.gov.uk/government/publications/local-government-reorganisation-letter-to-leaders-on-publicity-code</t>
        </is>
      </c>
      <c r="J12" s="43" t="inlineStr">
        <is>
          <t>Yes</t>
        </is>
      </c>
      <c r="K12" s="44" t="n"/>
      <c r="L12" s="44" t="inlineStr">
        <is>
          <t>4fc0d66b0cbc7e1557ee2aa32833ef79</t>
        </is>
      </c>
      <c r="M12" s="44" t="n"/>
    </row>
    <row r="13" ht="40" customHeight="1" s="28">
      <c r="A13" s="45" t="inlineStr">
        <is>
          <t>2026-06-08</t>
        </is>
      </c>
      <c r="B13" s="46" t="inlineStr">
        <is>
          <t>Local government reorganisation: letter to areas invited to submit final proposals</t>
        </is>
      </c>
      <c r="C13" s="46" t="inlineStr">
        <is>
          <t>GOV.UK</t>
        </is>
      </c>
      <c r="D13" s="46" t="inlineStr">
        <is>
          <t>Guidance</t>
        </is>
      </c>
      <c r="E13" s="45" t="inlineStr">
        <is>
          <t>2025-07-24</t>
        </is>
      </c>
      <c r="F13" s="45" t="inlineStr">
        <is>
          <t>Unclear</t>
        </is>
      </c>
      <c r="G13" s="46" t="inlineStr">
        <is>
          <t>Transition</t>
        </is>
      </c>
      <c r="H13" s="46" t="inlineStr">
        <is>
          <t>LGR Transition</t>
        </is>
      </c>
      <c r="I13" s="46" t="inlineStr">
        <is>
          <t>https://www.gov.uk/government/publications/local-government-reorganisation-letter-to-areas-invited-to-submitted-final-proposals</t>
        </is>
      </c>
      <c r="J13" s="45" t="inlineStr">
        <is>
          <t>Yes</t>
        </is>
      </c>
      <c r="K13" s="46" t="n"/>
      <c r="L13" s="46" t="inlineStr">
        <is>
          <t>22d3f1b0d8f5579612f7cafd74384940</t>
        </is>
      </c>
      <c r="M13" s="46" t="n"/>
    </row>
    <row r="14" ht="40" customHeight="1" s="28">
      <c r="A14" s="43" t="inlineStr">
        <is>
          <t>2026-06-08</t>
        </is>
      </c>
      <c r="B14" s="44" t="inlineStr">
        <is>
          <t>Local government reorganisation: letter to two-tier areas</t>
        </is>
      </c>
      <c r="C14" s="44" t="inlineStr">
        <is>
          <t>GOV.UK</t>
        </is>
      </c>
      <c r="D14" s="44" t="inlineStr">
        <is>
          <t>Guidance</t>
        </is>
      </c>
      <c r="E14" s="43" t="inlineStr">
        <is>
          <t>2025-01-15</t>
        </is>
      </c>
      <c r="F14" s="43" t="inlineStr">
        <is>
          <t>Unclear</t>
        </is>
      </c>
      <c r="G14" s="44" t="inlineStr">
        <is>
          <t>Transition</t>
        </is>
      </c>
      <c r="H14" s="44" t="inlineStr">
        <is>
          <t>LGR Transition</t>
        </is>
      </c>
      <c r="I14" s="44" t="inlineStr">
        <is>
          <t>https://www.gov.uk/government/publications/local-government-reorganisation-letter-to-two-tier-areas</t>
        </is>
      </c>
      <c r="J14" s="43" t="inlineStr">
        <is>
          <t>Yes</t>
        </is>
      </c>
      <c r="K14" s="44" t="n"/>
      <c r="L14" s="44" t="inlineStr">
        <is>
          <t>7dc6f9cdf34308af597518ba42239ab4</t>
        </is>
      </c>
      <c r="M14" s="44" t="n"/>
    </row>
    <row r="15" ht="40" customHeight="1" s="28">
      <c r="A15" s="45" t="inlineStr">
        <is>
          <t>2026-06-08</t>
        </is>
      </c>
      <c r="B15" s="46" t="inlineStr">
        <is>
          <t>Local Government Reorganisation Advisory Group</t>
        </is>
      </c>
      <c r="C15" s="46" t="inlineStr">
        <is>
          <t>GOV.UK</t>
        </is>
      </c>
      <c r="D15" s="46" t="inlineStr">
        <is>
          <t>Guidance</t>
        </is>
      </c>
      <c r="E15" s="45" t="inlineStr">
        <is>
          <t>2026-05-19</t>
        </is>
      </c>
      <c r="F15" s="45" t="inlineStr">
        <is>
          <t>Unclear</t>
        </is>
      </c>
      <c r="G15" s="46" t="inlineStr">
        <is>
          <t>Transition</t>
        </is>
      </c>
      <c r="H15" s="46" t="inlineStr">
        <is>
          <t>LGR Transition</t>
        </is>
      </c>
      <c r="I15" s="46" t="inlineStr">
        <is>
          <t>https://www.gov.uk/government/groups/local-government-reorganisation-advisory-group</t>
        </is>
      </c>
      <c r="J15" s="45" t="inlineStr">
        <is>
          <t>Yes</t>
        </is>
      </c>
      <c r="K15" s="46" t="n"/>
      <c r="L15" s="46" t="inlineStr">
        <is>
          <t>deb9b24ab99e8ba843c7fbc64c5e2ebb</t>
        </is>
      </c>
      <c r="M15" s="46" t="n"/>
    </row>
    <row r="16" ht="40" customHeight="1" s="28">
      <c r="A16" s="43" t="inlineStr">
        <is>
          <t>2026-06-08</t>
        </is>
      </c>
      <c r="B16" s="44" t="inlineStr">
        <is>
          <t>Local government reorganisation in Nottinghamshire and Nottingham</t>
        </is>
      </c>
      <c r="C16" s="44" t="inlineStr">
        <is>
          <t>GOV.UK</t>
        </is>
      </c>
      <c r="D16" s="44" t="inlineStr">
        <is>
          <t>Guidance</t>
        </is>
      </c>
      <c r="E16" s="43" t="inlineStr">
        <is>
          <t>2026-02-05</t>
        </is>
      </c>
      <c r="F16" s="43" t="inlineStr">
        <is>
          <t>Yes</t>
        </is>
      </c>
      <c r="G16" s="44" t="inlineStr">
        <is>
          <t>Local, Transition</t>
        </is>
      </c>
      <c r="H16" s="44" t="inlineStr">
        <is>
          <t>LGR Transition</t>
        </is>
      </c>
      <c r="I16" s="44" t="inlineStr">
        <is>
          <t>https://www.gov.uk/government/consultations/local-government-reorganisation-in-nottinghamshire-and-nottingham</t>
        </is>
      </c>
      <c r="J16" s="43" t="inlineStr">
        <is>
          <t>Yes</t>
        </is>
      </c>
      <c r="K16" s="44" t="n"/>
      <c r="L16" s="44" t="inlineStr">
        <is>
          <t>205848d9300953ace55c2f3f63b58552</t>
        </is>
      </c>
      <c r="M16" s="44" t="n"/>
    </row>
    <row r="17" ht="40" customHeight="1" s="28">
      <c r="A17" s="45" t="inlineStr">
        <is>
          <t>2026-06-08</t>
        </is>
      </c>
      <c r="B17" s="46" t="inlineStr">
        <is>
          <t>Local government reorganisation: letter to council leaders</t>
        </is>
      </c>
      <c r="C17" s="46" t="inlineStr">
        <is>
          <t>GOV.UK</t>
        </is>
      </c>
      <c r="D17" s="46" t="inlineStr">
        <is>
          <t>Guidance</t>
        </is>
      </c>
      <c r="E17" s="45" t="inlineStr">
        <is>
          <t>2026-02-05</t>
        </is>
      </c>
      <c r="F17" s="45" t="inlineStr">
        <is>
          <t>Unclear</t>
        </is>
      </c>
      <c r="G17" s="46" t="inlineStr">
        <is>
          <t>Transition</t>
        </is>
      </c>
      <c r="H17" s="46" t="inlineStr">
        <is>
          <t>LGR Transition</t>
        </is>
      </c>
      <c r="I17" s="46" t="inlineStr">
        <is>
          <t>https://www.gov.uk/government/publications/local-government-reorganisation-letter-to-council-leaders</t>
        </is>
      </c>
      <c r="J17" s="45" t="inlineStr">
        <is>
          <t>Yes</t>
        </is>
      </c>
      <c r="K17" s="46" t="n"/>
      <c r="L17" s="46" t="inlineStr">
        <is>
          <t>b4fe184485e89661bc66c4738064cf08</t>
        </is>
      </c>
      <c r="M17" s="46" t="n"/>
    </row>
    <row r="18" ht="40" customHeight="1" s="28">
      <c r="A18" s="43" t="inlineStr">
        <is>
          <t>2026-06-08</t>
        </is>
      </c>
      <c r="B18" s="44" t="inlineStr">
        <is>
          <t>Local audit reform</t>
        </is>
      </c>
      <c r="C18" s="44" t="inlineStr">
        <is>
          <t>GOV.UK</t>
        </is>
      </c>
      <c r="D18" s="44" t="inlineStr">
        <is>
          <t>Collection</t>
        </is>
      </c>
      <c r="E18" s="43" t="inlineStr">
        <is>
          <t>2025-12-02</t>
        </is>
      </c>
      <c r="F18" s="43" t="inlineStr">
        <is>
          <t>Unclear</t>
        </is>
      </c>
      <c r="G18" s="44" t="inlineStr">
        <is>
          <t>Audit</t>
        </is>
      </c>
      <c r="H18" s="44" t="inlineStr">
        <is>
          <t>Other</t>
        </is>
      </c>
      <c r="I18" s="44" t="inlineStr">
        <is>
          <t>https://www.gov.uk/government/publications/local-audit-reform</t>
        </is>
      </c>
      <c r="J18" s="43" t="inlineStr">
        <is>
          <t>Yes</t>
        </is>
      </c>
      <c r="K18" s="44" t="n"/>
      <c r="L18" s="44" t="inlineStr">
        <is>
          <t>45fb6decc9967abb65dbfdbd6215b69b</t>
        </is>
      </c>
      <c r="M18" s="44" t="n"/>
    </row>
    <row r="19" ht="40" customHeight="1" s="28">
      <c r="A19" s="45" t="inlineStr">
        <is>
          <t>2026-06-08</t>
        </is>
      </c>
      <c r="B19" s="46" t="inlineStr">
        <is>
          <t>Statutory intervention: Nottingham City Council</t>
        </is>
      </c>
      <c r="C19" s="46" t="inlineStr">
        <is>
          <t>GOV.UK</t>
        </is>
      </c>
      <c r="D19" s="46" t="inlineStr">
        <is>
          <t>Collection</t>
        </is>
      </c>
      <c r="E19" s="45" t="inlineStr">
        <is>
          <t>2026-03-24</t>
        </is>
      </c>
      <c r="F19" s="45" t="inlineStr">
        <is>
          <t>Yes</t>
        </is>
      </c>
      <c r="G19" s="46" t="inlineStr">
        <is>
          <t>Local, Intervention</t>
        </is>
      </c>
      <c r="H19" s="46" t="inlineStr">
        <is>
          <t>Governance and Transparency</t>
        </is>
      </c>
      <c r="I19" s="46" t="inlineStr">
        <is>
          <t>https://www.gov.uk/government/collections/statutory-intervention-nottingham-city-council-minded-to-decision</t>
        </is>
      </c>
      <c r="J19" s="45" t="inlineStr">
        <is>
          <t>Yes</t>
        </is>
      </c>
      <c r="K19" s="46" t="n"/>
      <c r="L19" s="46" t="inlineStr">
        <is>
          <t>c2dc55e3a57ff4e8f558291afcc1fc0b</t>
        </is>
      </c>
      <c r="M19" s="46" t="n"/>
    </row>
    <row r="20" ht="40" customHeight="1" s="28">
      <c r="A20" s="43" t="inlineStr">
        <is>
          <t>2026-06-08</t>
        </is>
      </c>
      <c r="B20" s="44" t="inlineStr">
        <is>
          <t>Nottingham City Council: Letter to Chief Executive (24 March 2026)</t>
        </is>
      </c>
      <c r="C20" s="44" t="inlineStr">
        <is>
          <t>GOV.UK</t>
        </is>
      </c>
      <c r="D20" s="44" t="inlineStr">
        <is>
          <t>Guidance</t>
        </is>
      </c>
      <c r="E20" s="43" t="inlineStr">
        <is>
          <t>2026-03-24</t>
        </is>
      </c>
      <c r="F20" s="43" t="inlineStr">
        <is>
          <t>Unclear</t>
        </is>
      </c>
      <c r="G20" s="44" t="inlineStr">
        <is>
          <t>Local</t>
        </is>
      </c>
      <c r="H20" s="44" t="inlineStr">
        <is>
          <t>Other</t>
        </is>
      </c>
      <c r="I20" s="44" t="inlineStr">
        <is>
          <t>https://www.gov.uk/government/publications/nottingham-city-council-letter-to-chief-executive-24-march-2026</t>
        </is>
      </c>
      <c r="J20" s="43" t="inlineStr">
        <is>
          <t>Yes</t>
        </is>
      </c>
      <c r="K20" s="44" t="n"/>
      <c r="L20" s="44" t="inlineStr">
        <is>
          <t>2898065a8f868eaa7fd43bbd82585e3c</t>
        </is>
      </c>
      <c r="M20" s="44" t="n"/>
    </row>
    <row r="21" ht="40" customHeight="1" s="28">
      <c r="A21" s="45" t="inlineStr">
        <is>
          <t>2026-06-08</t>
        </is>
      </c>
      <c r="B21" s="46" t="inlineStr">
        <is>
          <t>Nottingham City Council: Ministerial Envoy appointment letter</t>
        </is>
      </c>
      <c r="C21" s="46" t="inlineStr">
        <is>
          <t>GOV.UK</t>
        </is>
      </c>
      <c r="D21" s="46" t="inlineStr">
        <is>
          <t>Guidance</t>
        </is>
      </c>
      <c r="E21" s="45" t="inlineStr">
        <is>
          <t>2026-03-24</t>
        </is>
      </c>
      <c r="F21" s="45" t="inlineStr">
        <is>
          <t>Yes</t>
        </is>
      </c>
      <c r="G21" s="46" t="inlineStr">
        <is>
          <t>Local, Intervention</t>
        </is>
      </c>
      <c r="H21" s="46" t="inlineStr">
        <is>
          <t>Governance and Transparency</t>
        </is>
      </c>
      <c r="I21" s="46" t="inlineStr">
        <is>
          <t>https://www.gov.uk/government/publications/nottingham-city-council-ministerial-envoy-appointment-letter</t>
        </is>
      </c>
      <c r="J21" s="45" t="inlineStr">
        <is>
          <t>Yes</t>
        </is>
      </c>
      <c r="K21" s="46" t="n"/>
      <c r="L21" s="46" t="inlineStr">
        <is>
          <t>2dbede6274db13509cc24e5283575c92</t>
        </is>
      </c>
      <c r="M21" s="46" t="n"/>
    </row>
    <row r="22" ht="40" customHeight="1" s="28">
      <c r="A22" s="43" t="inlineStr">
        <is>
          <t>2026-06-08</t>
        </is>
      </c>
      <c r="B22" s="44" t="inlineStr">
        <is>
          <t>Nottingham City Council: Letter to former Commissioners (24 March 2026)</t>
        </is>
      </c>
      <c r="C22" s="44" t="inlineStr">
        <is>
          <t>GOV.UK</t>
        </is>
      </c>
      <c r="D22" s="44" t="inlineStr">
        <is>
          <t>Guidance</t>
        </is>
      </c>
      <c r="E22" s="43" t="inlineStr">
        <is>
          <t>2026-03-24</t>
        </is>
      </c>
      <c r="F22" s="43" t="inlineStr">
        <is>
          <t>Yes</t>
        </is>
      </c>
      <c r="G22" s="44" t="inlineStr">
        <is>
          <t>Local, Intervention</t>
        </is>
      </c>
      <c r="H22" s="44" t="inlineStr">
        <is>
          <t>Governance and Transparency</t>
        </is>
      </c>
      <c r="I22" s="44" t="inlineStr">
        <is>
          <t>https://www.gov.uk/government/publications/nottingham-city-council-letter-to-former-commissioners-24-march-2026</t>
        </is>
      </c>
      <c r="J22" s="43" t="inlineStr">
        <is>
          <t>Yes</t>
        </is>
      </c>
      <c r="K22" s="44" t="n"/>
      <c r="L22" s="44" t="inlineStr">
        <is>
          <t>9fda66e1dc31a97df966b7bfb61d2152</t>
        </is>
      </c>
      <c r="M22" s="44" t="n"/>
    </row>
    <row r="23" ht="40" customHeight="1" s="28">
      <c r="A23" s="45" t="inlineStr">
        <is>
          <t>2026-06-08</t>
        </is>
      </c>
      <c r="B23" s="46" t="inlineStr">
        <is>
          <t>Nottingham City Council: Directions made under the Local Government Act 1999 (24 March 2026)</t>
        </is>
      </c>
      <c r="C23" s="46" t="inlineStr">
        <is>
          <t>GOV.UK</t>
        </is>
      </c>
      <c r="D23" s="46" t="inlineStr">
        <is>
          <t>Guidance</t>
        </is>
      </c>
      <c r="E23" s="45" t="inlineStr">
        <is>
          <t>2026-03-24</t>
        </is>
      </c>
      <c r="F23" s="45" t="inlineStr">
        <is>
          <t>Unclear</t>
        </is>
      </c>
      <c r="G23" s="46" t="inlineStr">
        <is>
          <t>Local</t>
        </is>
      </c>
      <c r="H23" s="46" t="inlineStr">
        <is>
          <t>Other</t>
        </is>
      </c>
      <c r="I23" s="46" t="inlineStr">
        <is>
          <t>https://www.gov.uk/government/publications/nottingham-city-council-directions-made-under-the-local-government-act-1999-24-march-2026</t>
        </is>
      </c>
      <c r="J23" s="45" t="inlineStr">
        <is>
          <t>Yes</t>
        </is>
      </c>
      <c r="K23" s="46" t="n"/>
      <c r="L23" s="46" t="inlineStr">
        <is>
          <t>8035e4e92865a4e08aa53357659b4d9c</t>
        </is>
      </c>
      <c r="M23" s="46" t="n"/>
    </row>
    <row r="24" ht="40" customHeight="1" s="28">
      <c r="A24" s="43" t="inlineStr">
        <is>
          <t>2026-06-08</t>
        </is>
      </c>
      <c r="B24" s="44" t="inlineStr">
        <is>
          <t>Nottingham City Council: Explanatory Memorandum (24 March 2026)</t>
        </is>
      </c>
      <c r="C24" s="44" t="inlineStr">
        <is>
          <t>GOV.UK</t>
        </is>
      </c>
      <c r="D24" s="44" t="inlineStr">
        <is>
          <t>Guidance</t>
        </is>
      </c>
      <c r="E24" s="43" t="inlineStr">
        <is>
          <t>2026-03-24</t>
        </is>
      </c>
      <c r="F24" s="43" t="inlineStr">
        <is>
          <t>Unclear</t>
        </is>
      </c>
      <c r="G24" s="44" t="inlineStr">
        <is>
          <t>Local</t>
        </is>
      </c>
      <c r="H24" s="44" t="inlineStr">
        <is>
          <t>Other</t>
        </is>
      </c>
      <c r="I24" s="44" t="inlineStr">
        <is>
          <t>https://www.gov.uk/government/publications/nottingham-city-council-explanatory-memorandum-24-march-2026</t>
        </is>
      </c>
      <c r="J24" s="43" t="inlineStr">
        <is>
          <t>Yes</t>
        </is>
      </c>
      <c r="K24" s="44" t="n"/>
      <c r="L24" s="44" t="inlineStr">
        <is>
          <t>d3c467457b540a3f0bf614309aca9c19</t>
        </is>
      </c>
      <c r="M24" s="44" t="n"/>
    </row>
    <row r="25" ht="40" customHeight="1" s="28">
      <c r="A25" s="45" t="inlineStr">
        <is>
          <t>2026-06-08</t>
        </is>
      </c>
      <c r="B25" s="46" t="inlineStr">
        <is>
          <t>Nottingham City Council: Representation (24 March 2026)</t>
        </is>
      </c>
      <c r="C25" s="46" t="inlineStr">
        <is>
          <t>GOV.UK</t>
        </is>
      </c>
      <c r="D25" s="46" t="inlineStr">
        <is>
          <t>Guidance</t>
        </is>
      </c>
      <c r="E25" s="45" t="inlineStr">
        <is>
          <t>2026-03-24</t>
        </is>
      </c>
      <c r="F25" s="45" t="inlineStr">
        <is>
          <t>Unclear</t>
        </is>
      </c>
      <c r="G25" s="46" t="inlineStr">
        <is>
          <t>Local</t>
        </is>
      </c>
      <c r="H25" s="46" t="inlineStr">
        <is>
          <t>Other</t>
        </is>
      </c>
      <c r="I25" s="46" t="inlineStr">
        <is>
          <t>https://www.gov.uk/government/publications/nottingham-city-council-representation-24-march-2026</t>
        </is>
      </c>
      <c r="J25" s="45" t="inlineStr">
        <is>
          <t>Yes</t>
        </is>
      </c>
      <c r="K25" s="46" t="n"/>
      <c r="L25" s="46" t="inlineStr">
        <is>
          <t>26fc51c10335d44f7a857673c0b0187d</t>
        </is>
      </c>
      <c r="M25" s="46" t="n"/>
    </row>
    <row r="26" ht="40" customHeight="1" s="28">
      <c r="A26" s="43" t="inlineStr">
        <is>
          <t>2026-06-08</t>
        </is>
      </c>
      <c r="B26" s="44" t="inlineStr">
        <is>
          <t>Nottingham City Council: Letter to the Chief Executive (4 February 2026)</t>
        </is>
      </c>
      <c r="C26" s="44" t="inlineStr">
        <is>
          <t>GOV.UK</t>
        </is>
      </c>
      <c r="D26" s="44" t="inlineStr">
        <is>
          <t>Guidance</t>
        </is>
      </c>
      <c r="E26" s="43" t="inlineStr">
        <is>
          <t>2026-02-04</t>
        </is>
      </c>
      <c r="F26" s="43" t="inlineStr">
        <is>
          <t>Unclear</t>
        </is>
      </c>
      <c r="G26" s="44" t="inlineStr">
        <is>
          <t>Local</t>
        </is>
      </c>
      <c r="H26" s="44" t="inlineStr">
        <is>
          <t>Other</t>
        </is>
      </c>
      <c r="I26" s="44" t="inlineStr">
        <is>
          <t>https://www.gov.uk/government/publications/nottingham-city-council-letter-to-the-chief-executive-4-february-2026</t>
        </is>
      </c>
      <c r="J26" s="43" t="inlineStr">
        <is>
          <t>Yes</t>
        </is>
      </c>
      <c r="K26" s="44" t="n"/>
      <c r="L26" s="44" t="inlineStr">
        <is>
          <t>560ce0c0352c0e6f61e7726b7b64345b</t>
        </is>
      </c>
      <c r="M26" s="44" t="n"/>
    </row>
    <row r="27" ht="40" customHeight="1" s="28">
      <c r="A27" s="45" t="inlineStr">
        <is>
          <t>2026-06-08</t>
        </is>
      </c>
      <c r="B27" s="46" t="inlineStr">
        <is>
          <t>Nottingham City Council: Ministerial response to the Commissioners’ fourth report</t>
        </is>
      </c>
      <c r="C27" s="46" t="inlineStr">
        <is>
          <t>GOV.UK</t>
        </is>
      </c>
      <c r="D27" s="46" t="inlineStr">
        <is>
          <t>Guidance</t>
        </is>
      </c>
      <c r="E27" s="45" t="inlineStr">
        <is>
          <t>2026-02-04</t>
        </is>
      </c>
      <c r="F27" s="45" t="inlineStr">
        <is>
          <t>Yes</t>
        </is>
      </c>
      <c r="G27" s="46" t="inlineStr">
        <is>
          <t>Local, Intervention</t>
        </is>
      </c>
      <c r="H27" s="46" t="inlineStr">
        <is>
          <t>Governance and Transparency</t>
        </is>
      </c>
      <c r="I27" s="46" t="inlineStr">
        <is>
          <t>https://www.gov.uk/government/publications/nottingham-city-council-ministerial-response-to-the-commissioners-fourth-report</t>
        </is>
      </c>
      <c r="J27" s="45" t="inlineStr">
        <is>
          <t>Yes</t>
        </is>
      </c>
      <c r="K27" s="46" t="n"/>
      <c r="L27" s="46" t="inlineStr">
        <is>
          <t>600b6f4d89eb5413e08733526ceca1ed</t>
        </is>
      </c>
      <c r="M27" s="46" t="n"/>
    </row>
    <row r="28" ht="40" customHeight="1" s="28">
      <c r="A28" s="43" t="inlineStr">
        <is>
          <t>2026-06-08</t>
        </is>
      </c>
      <c r="B28" s="44" t="inlineStr">
        <is>
          <t>Nottingham City Council: Commissioners’ fourth report</t>
        </is>
      </c>
      <c r="C28" s="44" t="inlineStr">
        <is>
          <t>GOV.UK</t>
        </is>
      </c>
      <c r="D28" s="44" t="inlineStr">
        <is>
          <t>Guidance</t>
        </is>
      </c>
      <c r="E28" s="43" t="inlineStr">
        <is>
          <t>2026-02-04</t>
        </is>
      </c>
      <c r="F28" s="43" t="inlineStr">
        <is>
          <t>Yes</t>
        </is>
      </c>
      <c r="G28" s="44" t="inlineStr">
        <is>
          <t>Local, Intervention</t>
        </is>
      </c>
      <c r="H28" s="44" t="inlineStr">
        <is>
          <t>Governance and Transparency</t>
        </is>
      </c>
      <c r="I28" s="44" t="inlineStr">
        <is>
          <t>https://www.gov.uk/government/publications/nottingham-city-council-commissioners-fourth-report</t>
        </is>
      </c>
      <c r="J28" s="43" t="inlineStr">
        <is>
          <t>Yes</t>
        </is>
      </c>
      <c r="K28" s="44" t="n"/>
      <c r="L28" s="44" t="inlineStr">
        <is>
          <t>99a0b5064ee8727c2347c9b72571b15b</t>
        </is>
      </c>
      <c r="M28" s="44" t="n"/>
    </row>
    <row r="29" ht="40" customHeight="1" s="28">
      <c r="A29" s="45" t="inlineStr">
        <is>
          <t>2026-06-08</t>
        </is>
      </c>
      <c r="B29" s="46" t="inlineStr">
        <is>
          <t>Nottingham City Council: Explanatory Memorandum (updated 21 November 2025)</t>
        </is>
      </c>
      <c r="C29" s="46" t="inlineStr">
        <is>
          <t>GOV.UK</t>
        </is>
      </c>
      <c r="D29" s="46" t="inlineStr">
        <is>
          <t>Guidance</t>
        </is>
      </c>
      <c r="E29" s="45" t="inlineStr">
        <is>
          <t>2025-11-21</t>
        </is>
      </c>
      <c r="F29" s="45" t="inlineStr">
        <is>
          <t>Unclear</t>
        </is>
      </c>
      <c r="G29" s="46" t="inlineStr">
        <is>
          <t>Local</t>
        </is>
      </c>
      <c r="H29" s="46" t="inlineStr">
        <is>
          <t>Other</t>
        </is>
      </c>
      <c r="I29" s="46" t="inlineStr">
        <is>
          <t>https://www.gov.uk/government/publications/nottingham-city-council-explanatory-memorandum-updated-21-november-2025</t>
        </is>
      </c>
      <c r="J29" s="45" t="inlineStr">
        <is>
          <t>Yes</t>
        </is>
      </c>
      <c r="K29" s="46" t="n"/>
      <c r="L29" s="46" t="inlineStr">
        <is>
          <t>801a9c9285e4a5e78e6fc55a1359a162</t>
        </is>
      </c>
      <c r="M29" s="46" t="n"/>
    </row>
    <row r="30" ht="40" customHeight="1" s="28">
      <c r="A30" s="43" t="inlineStr">
        <is>
          <t>2026-06-08</t>
        </is>
      </c>
      <c r="B30" s="44" t="inlineStr">
        <is>
          <t>Nottingham City Council: Commissioner appointment letters (updated 21 November 2025)</t>
        </is>
      </c>
      <c r="C30" s="44" t="inlineStr">
        <is>
          <t>GOV.UK</t>
        </is>
      </c>
      <c r="D30" s="44" t="inlineStr">
        <is>
          <t>Guidance</t>
        </is>
      </c>
      <c r="E30" s="43" t="inlineStr">
        <is>
          <t>2025-11-21</t>
        </is>
      </c>
      <c r="F30" s="43" t="inlineStr">
        <is>
          <t>Yes</t>
        </is>
      </c>
      <c r="G30" s="44" t="inlineStr">
        <is>
          <t>Local, Intervention</t>
        </is>
      </c>
      <c r="H30" s="44" t="inlineStr">
        <is>
          <t>Governance and Transparency</t>
        </is>
      </c>
      <c r="I30" s="44" t="inlineStr">
        <is>
          <t>https://www.gov.uk/government/publications/nottingham-city-council-commissioner-appointment-letters-updated-21-november-2025</t>
        </is>
      </c>
      <c r="J30" s="43" t="inlineStr">
        <is>
          <t>Yes</t>
        </is>
      </c>
      <c r="K30" s="44" t="n"/>
      <c r="L30" s="44" t="inlineStr">
        <is>
          <t>6251f19915a405867e8db673d2d1d536</t>
        </is>
      </c>
      <c r="M30" s="44" t="n"/>
    </row>
    <row r="31" ht="40" customHeight="1" s="28">
      <c r="A31" s="45" t="inlineStr">
        <is>
          <t>2026-06-08</t>
        </is>
      </c>
      <c r="B31" s="46" t="inlineStr">
        <is>
          <t>Nottingham City Council: Ministerial response to the Commissioners’ third report</t>
        </is>
      </c>
      <c r="C31" s="46" t="inlineStr">
        <is>
          <t>GOV.UK</t>
        </is>
      </c>
      <c r="D31" s="46" t="inlineStr">
        <is>
          <t>Guidance</t>
        </is>
      </c>
      <c r="E31" s="45" t="inlineStr">
        <is>
          <t>2025-11-21</t>
        </is>
      </c>
      <c r="F31" s="45" t="inlineStr">
        <is>
          <t>Yes</t>
        </is>
      </c>
      <c r="G31" s="46" t="inlineStr">
        <is>
          <t>Local, Intervention</t>
        </is>
      </c>
      <c r="H31" s="46" t="inlineStr">
        <is>
          <t>Governance and Transparency</t>
        </is>
      </c>
      <c r="I31" s="46" t="inlineStr">
        <is>
          <t>https://www.gov.uk/government/publications/nottingham-city-council-ministerial-response-to-the-commissioners-third-report</t>
        </is>
      </c>
      <c r="J31" s="45" t="inlineStr">
        <is>
          <t>Yes</t>
        </is>
      </c>
      <c r="K31" s="46" t="n"/>
      <c r="L31" s="46" t="inlineStr">
        <is>
          <t>057d2e3166a08ecb5b94d555e58217d4</t>
        </is>
      </c>
      <c r="M31" s="46" t="n"/>
    </row>
    <row r="32" ht="40" customHeight="1" s="28">
      <c r="A32" s="43" t="inlineStr">
        <is>
          <t>2026-06-08</t>
        </is>
      </c>
      <c r="B32" s="44" t="inlineStr">
        <is>
          <t>Nottingham City Council: Commissioners’ third report</t>
        </is>
      </c>
      <c r="C32" s="44" t="inlineStr">
        <is>
          <t>GOV.UK</t>
        </is>
      </c>
      <c r="D32" s="44" t="inlineStr">
        <is>
          <t>Guidance</t>
        </is>
      </c>
      <c r="E32" s="43" t="inlineStr">
        <is>
          <t>2025-11-21</t>
        </is>
      </c>
      <c r="F32" s="43" t="inlineStr">
        <is>
          <t>Yes</t>
        </is>
      </c>
      <c r="G32" s="44" t="inlineStr">
        <is>
          <t>Local, Intervention</t>
        </is>
      </c>
      <c r="H32" s="44" t="inlineStr">
        <is>
          <t>Governance and Transparency</t>
        </is>
      </c>
      <c r="I32" s="44" t="inlineStr">
        <is>
          <t>https://www.gov.uk/government/publications/nottingham-city-council-commissioners-third-report</t>
        </is>
      </c>
      <c r="J32" s="43" t="inlineStr">
        <is>
          <t>Yes</t>
        </is>
      </c>
      <c r="K32" s="44" t="n"/>
      <c r="L32" s="44" t="inlineStr">
        <is>
          <t>8c8111a055eaa3d14e02d4500ccb6cb3</t>
        </is>
      </c>
      <c r="M32" s="44" t="n"/>
    </row>
    <row r="33" ht="40" customHeight="1" s="28">
      <c r="A33" s="45" t="inlineStr">
        <is>
          <t>2026-06-08</t>
        </is>
      </c>
      <c r="B33" s="46" t="inlineStr">
        <is>
          <t>Nottingham City Council: Ministerial response to the Commissioners’ second report</t>
        </is>
      </c>
      <c r="C33" s="46" t="inlineStr">
        <is>
          <t>GOV.UK</t>
        </is>
      </c>
      <c r="D33" s="46" t="inlineStr">
        <is>
          <t>Guidance</t>
        </is>
      </c>
      <c r="E33" s="45" t="inlineStr">
        <is>
          <t>2025-05-08</t>
        </is>
      </c>
      <c r="F33" s="45" t="inlineStr">
        <is>
          <t>Yes</t>
        </is>
      </c>
      <c r="G33" s="46" t="inlineStr">
        <is>
          <t>Local, Intervention</t>
        </is>
      </c>
      <c r="H33" s="46" t="inlineStr">
        <is>
          <t>Governance and Transparency</t>
        </is>
      </c>
      <c r="I33" s="46" t="inlineStr">
        <is>
          <t>https://www.gov.uk/government/publications/nottingham-city-council-ministerial-response-to-the-commissioners-second-report</t>
        </is>
      </c>
      <c r="J33" s="45" t="inlineStr">
        <is>
          <t>Yes</t>
        </is>
      </c>
      <c r="K33" s="46" t="n"/>
      <c r="L33" s="46" t="inlineStr">
        <is>
          <t>cd73ff777fc694dab66f6b876a1c1c28</t>
        </is>
      </c>
      <c r="M33" s="46" t="n"/>
    </row>
    <row r="34" ht="40" customHeight="1" s="28">
      <c r="A34" s="43" t="inlineStr">
        <is>
          <t>2026-06-08</t>
        </is>
      </c>
      <c r="B34" s="44" t="inlineStr">
        <is>
          <t>Nottingham City Council: Commissioners’ second report</t>
        </is>
      </c>
      <c r="C34" s="44" t="inlineStr">
        <is>
          <t>GOV.UK</t>
        </is>
      </c>
      <c r="D34" s="44" t="inlineStr">
        <is>
          <t>Guidance</t>
        </is>
      </c>
      <c r="E34" s="43" t="inlineStr">
        <is>
          <t>2025-05-08</t>
        </is>
      </c>
      <c r="F34" s="43" t="inlineStr">
        <is>
          <t>Yes</t>
        </is>
      </c>
      <c r="G34" s="44" t="inlineStr">
        <is>
          <t>Local, Intervention</t>
        </is>
      </c>
      <c r="H34" s="44" t="inlineStr">
        <is>
          <t>Governance and Transparency</t>
        </is>
      </c>
      <c r="I34" s="44" t="inlineStr">
        <is>
          <t>https://www.gov.uk/government/publications/nottingham-city-council-commissioners-second-report</t>
        </is>
      </c>
      <c r="J34" s="43" t="inlineStr">
        <is>
          <t>Yes</t>
        </is>
      </c>
      <c r="K34" s="44" t="n"/>
      <c r="L34" s="44" t="inlineStr">
        <is>
          <t>d0c04d111712ea0ef8f01685db7108d2</t>
        </is>
      </c>
      <c r="M34" s="44" t="n"/>
    </row>
    <row r="35" ht="40" customHeight="1" s="28">
      <c r="A35" s="45" t="inlineStr">
        <is>
          <t>2026-06-08</t>
        </is>
      </c>
      <c r="B35" s="46" t="inlineStr">
        <is>
          <t>Nottingham City Council: Exceptional Financial Support request 2025-26</t>
        </is>
      </c>
      <c r="C35" s="46" t="inlineStr">
        <is>
          <t>GOV.UK</t>
        </is>
      </c>
      <c r="D35" s="46" t="inlineStr">
        <is>
          <t>Guidance</t>
        </is>
      </c>
      <c r="E35" s="45" t="inlineStr">
        <is>
          <t>2025-03-13</t>
        </is>
      </c>
      <c r="F35" s="45" t="inlineStr">
        <is>
          <t>Yes</t>
        </is>
      </c>
      <c r="G35" s="46" t="inlineStr">
        <is>
          <t>Local, Intervention</t>
        </is>
      </c>
      <c r="H35" s="46" t="inlineStr">
        <is>
          <t>Other</t>
        </is>
      </c>
      <c r="I35" s="46" t="inlineStr">
        <is>
          <t>https://www.gov.uk/government/publications/nottingham-city-council-exceptional-financial-support-request-2025-26</t>
        </is>
      </c>
      <c r="J35" s="45" t="inlineStr">
        <is>
          <t>Yes</t>
        </is>
      </c>
      <c r="K35" s="46" t="n"/>
      <c r="L35" s="46" t="inlineStr">
        <is>
          <t>5c4c10fa46b25394fc2cd21fe1c1d75f</t>
        </is>
      </c>
      <c r="M35" s="46" t="n"/>
    </row>
    <row r="36" ht="40" customHeight="1" s="28">
      <c r="A36" s="43" t="inlineStr">
        <is>
          <t>2026-06-08</t>
        </is>
      </c>
      <c r="B36" s="44" t="inlineStr">
        <is>
          <t>Nottingham City Council: Ministerial response to Commissioners’ first report</t>
        </is>
      </c>
      <c r="C36" s="44" t="inlineStr">
        <is>
          <t>GOV.UK</t>
        </is>
      </c>
      <c r="D36" s="44" t="inlineStr">
        <is>
          <t>Guidance</t>
        </is>
      </c>
      <c r="E36" s="43" t="inlineStr">
        <is>
          <t>2024-12-12</t>
        </is>
      </c>
      <c r="F36" s="43" t="inlineStr">
        <is>
          <t>Yes</t>
        </is>
      </c>
      <c r="G36" s="44" t="inlineStr">
        <is>
          <t>Local, Intervention</t>
        </is>
      </c>
      <c r="H36" s="44" t="inlineStr">
        <is>
          <t>Governance and Transparency</t>
        </is>
      </c>
      <c r="I36" s="44" t="inlineStr">
        <is>
          <t>https://www.gov.uk/government/publications/nottingham-city-council-ministerial-response-to-commissioners-first-report</t>
        </is>
      </c>
      <c r="J36" s="43" t="inlineStr">
        <is>
          <t>Yes</t>
        </is>
      </c>
      <c r="K36" s="44" t="n"/>
      <c r="L36" s="44" t="inlineStr">
        <is>
          <t>71f2e56afb6d6753e35b172cc516b431</t>
        </is>
      </c>
      <c r="M36" s="44" t="n"/>
    </row>
    <row r="37" ht="40" customHeight="1" s="28">
      <c r="A37" s="45" t="inlineStr">
        <is>
          <t>2026-06-08</t>
        </is>
      </c>
      <c r="B37" s="46" t="inlineStr">
        <is>
          <t>Nottingham City Council: Commissioners' first report</t>
        </is>
      </c>
      <c r="C37" s="46" t="inlineStr">
        <is>
          <t>GOV.UK</t>
        </is>
      </c>
      <c r="D37" s="46" t="inlineStr">
        <is>
          <t>Guidance</t>
        </is>
      </c>
      <c r="E37" s="45" t="inlineStr">
        <is>
          <t>2024-12-12</t>
        </is>
      </c>
      <c r="F37" s="45" t="inlineStr">
        <is>
          <t>Yes</t>
        </is>
      </c>
      <c r="G37" s="46" t="inlineStr">
        <is>
          <t>Local, Intervention</t>
        </is>
      </c>
      <c r="H37" s="46" t="inlineStr">
        <is>
          <t>Governance and Transparency</t>
        </is>
      </c>
      <c r="I37" s="46" t="inlineStr">
        <is>
          <t>https://www.gov.uk/government/publications/nottingham-city-council-commissioners-first-report</t>
        </is>
      </c>
      <c r="J37" s="45" t="inlineStr">
        <is>
          <t>Yes</t>
        </is>
      </c>
      <c r="K37" s="46" t="n"/>
      <c r="L37" s="46" t="inlineStr">
        <is>
          <t>d98ca8e7ad028a097ebc6dda8f8e5aa3</t>
        </is>
      </c>
      <c r="M37" s="46" t="n"/>
    </row>
    <row r="38" ht="40" customHeight="1" s="28">
      <c r="A38" s="43" t="inlineStr">
        <is>
          <t>2026-06-08</t>
        </is>
      </c>
      <c r="B38" s="44" t="inlineStr">
        <is>
          <t>Nottingham City Council Improvement and Assurance Board: final report</t>
        </is>
      </c>
      <c r="C38" s="44" t="inlineStr">
        <is>
          <t>GOV.UK</t>
        </is>
      </c>
      <c r="D38" s="44" t="inlineStr">
        <is>
          <t>Guidance</t>
        </is>
      </c>
      <c r="E38" s="43" t="inlineStr">
        <is>
          <t>2024-05-16</t>
        </is>
      </c>
      <c r="F38" s="43" t="inlineStr">
        <is>
          <t>Yes</t>
        </is>
      </c>
      <c r="G38" s="44" t="inlineStr">
        <is>
          <t>Local</t>
        </is>
      </c>
      <c r="H38" s="44" t="inlineStr">
        <is>
          <t>Internal Controls</t>
        </is>
      </c>
      <c r="I38" s="44" t="inlineStr">
        <is>
          <t>https://www.gov.uk/government/publications/nottingham-city-council-improvement-and-assurance-board-final-report</t>
        </is>
      </c>
      <c r="J38" s="43" t="inlineStr">
        <is>
          <t>Yes</t>
        </is>
      </c>
      <c r="K38" s="44" t="n"/>
      <c r="L38" s="44" t="inlineStr">
        <is>
          <t>b2a8fea237a904bd7678992fd8043a00</t>
        </is>
      </c>
      <c r="M38" s="44" t="n"/>
    </row>
    <row r="39" ht="40" customHeight="1" s="28">
      <c r="A39" s="45" t="inlineStr">
        <is>
          <t>2026-06-08</t>
        </is>
      </c>
      <c r="B39" s="46" t="inlineStr">
        <is>
          <t>​​Nottingham City Council: Explanatory Memorandum (updated 11 April 2024)​</t>
        </is>
      </c>
      <c r="C39" s="46" t="inlineStr">
        <is>
          <t>GOV.UK</t>
        </is>
      </c>
      <c r="D39" s="46" t="inlineStr">
        <is>
          <t>Guidance</t>
        </is>
      </c>
      <c r="E39" s="45" t="inlineStr">
        <is>
          <t>2024-04-11</t>
        </is>
      </c>
      <c r="F39" s="45" t="inlineStr">
        <is>
          <t>Unclear</t>
        </is>
      </c>
      <c r="G39" s="46" t="inlineStr">
        <is>
          <t>Local</t>
        </is>
      </c>
      <c r="H39" s="46" t="inlineStr">
        <is>
          <t>Other</t>
        </is>
      </c>
      <c r="I39" s="46" t="inlineStr">
        <is>
          <t>https://www.gov.uk/government/publications/nottingham-city-council-explanatory-memorandum-updated-11-april-2024</t>
        </is>
      </c>
      <c r="J39" s="45" t="inlineStr">
        <is>
          <t>Yes</t>
        </is>
      </c>
      <c r="K39" s="46" t="n"/>
      <c r="L39" s="46" t="inlineStr">
        <is>
          <t>b8cca80ece289181cd7b9f904d30f831</t>
        </is>
      </c>
      <c r="M39" s="46" t="n"/>
    </row>
    <row r="40" ht="40" customHeight="1" s="28">
      <c r="A40" s="43" t="inlineStr">
        <is>
          <t>2026-06-08</t>
        </is>
      </c>
      <c r="B40" s="44" t="inlineStr">
        <is>
          <t>Nottingham City Council: Commissioner appointment letters</t>
        </is>
      </c>
      <c r="C40" s="44" t="inlineStr">
        <is>
          <t>GOV.UK</t>
        </is>
      </c>
      <c r="D40" s="44" t="inlineStr">
        <is>
          <t>Guidance</t>
        </is>
      </c>
      <c r="E40" s="43" t="inlineStr">
        <is>
          <t>2024-04-11</t>
        </is>
      </c>
      <c r="F40" s="43" t="inlineStr">
        <is>
          <t>Yes</t>
        </is>
      </c>
      <c r="G40" s="44" t="inlineStr">
        <is>
          <t>Local, Intervention</t>
        </is>
      </c>
      <c r="H40" s="44" t="inlineStr">
        <is>
          <t>Governance and Transparency</t>
        </is>
      </c>
      <c r="I40" s="44" t="inlineStr">
        <is>
          <t>https://www.gov.uk/government/publications/nottingham-city-council-commissioner-appointment-letters-22-february-2024</t>
        </is>
      </c>
      <c r="J40" s="43" t="inlineStr">
        <is>
          <t>Yes</t>
        </is>
      </c>
      <c r="K40" s="44" t="n"/>
      <c r="L40" s="44" t="inlineStr">
        <is>
          <t>3ca747b43d32cba56433c1fb3e64607a</t>
        </is>
      </c>
      <c r="M40" s="44" t="n"/>
    </row>
    <row r="41" ht="40" customHeight="1" s="28">
      <c r="A41" s="45" t="inlineStr">
        <is>
          <t>2026-06-08</t>
        </is>
      </c>
      <c r="B41" s="46" t="inlineStr">
        <is>
          <t>Nottingham City Council: Exceptional Financial Support request 2024-25</t>
        </is>
      </c>
      <c r="C41" s="46" t="inlineStr">
        <is>
          <t>GOV.UK</t>
        </is>
      </c>
      <c r="D41" s="46" t="inlineStr">
        <is>
          <t>Guidance</t>
        </is>
      </c>
      <c r="E41" s="45" t="inlineStr">
        <is>
          <t>2024-02-29</t>
        </is>
      </c>
      <c r="F41" s="45" t="inlineStr">
        <is>
          <t>Yes</t>
        </is>
      </c>
      <c r="G41" s="46" t="inlineStr">
        <is>
          <t>Local, Intervention</t>
        </is>
      </c>
      <c r="H41" s="46" t="inlineStr">
        <is>
          <t>Other</t>
        </is>
      </c>
      <c r="I41" s="46" t="inlineStr">
        <is>
          <t>https://www.gov.uk/government/publications/nottingham-city-council-exceptional-financial-support-request-2024-25</t>
        </is>
      </c>
      <c r="J41" s="45" t="inlineStr">
        <is>
          <t>Yes</t>
        </is>
      </c>
      <c r="K41" s="46" t="n"/>
      <c r="L41" s="46" t="inlineStr">
        <is>
          <t>0bb0ae6e9ccc3f81265482eab2db78a8</t>
        </is>
      </c>
      <c r="M41" s="46" t="n"/>
    </row>
    <row r="42" ht="40" customHeight="1" s="28">
      <c r="A42" s="43" t="inlineStr">
        <is>
          <t>2026-06-08</t>
        </is>
      </c>
      <c r="B42" s="44" t="inlineStr">
        <is>
          <t>Nottingham City Council: Letter to the Chief Executive (22 February 2024)</t>
        </is>
      </c>
      <c r="C42" s="44" t="inlineStr">
        <is>
          <t>GOV.UK</t>
        </is>
      </c>
      <c r="D42" s="44" t="inlineStr">
        <is>
          <t>Guidance</t>
        </is>
      </c>
      <c r="E42" s="43" t="inlineStr">
        <is>
          <t>2024-02-22</t>
        </is>
      </c>
      <c r="F42" s="43" t="inlineStr">
        <is>
          <t>Unclear</t>
        </is>
      </c>
      <c r="G42" s="44" t="inlineStr">
        <is>
          <t>Local</t>
        </is>
      </c>
      <c r="H42" s="44" t="inlineStr">
        <is>
          <t>Other</t>
        </is>
      </c>
      <c r="I42" s="44" t="inlineStr">
        <is>
          <t>https://www.gov.uk/government/publications/nottingham-city-council-letter-to-the-chief-executive-22-february-2024</t>
        </is>
      </c>
      <c r="J42" s="43" t="inlineStr">
        <is>
          <t>Yes</t>
        </is>
      </c>
      <c r="K42" s="44" t="n"/>
      <c r="L42" s="44" t="inlineStr">
        <is>
          <t>17eeadd0b9d2a6883638b93980e8ae9f</t>
        </is>
      </c>
      <c r="M42" s="44" t="n"/>
    </row>
    <row r="43" ht="40" customHeight="1" s="28">
      <c r="A43" s="45" t="inlineStr">
        <is>
          <t>2026-06-08</t>
        </is>
      </c>
      <c r="B43" s="46" t="inlineStr">
        <is>
          <t>Nottingham City Council: Ministerial letter to Sir Tony Redmond (22 February 2024)</t>
        </is>
      </c>
      <c r="C43" s="46" t="inlineStr">
        <is>
          <t>GOV.UK</t>
        </is>
      </c>
      <c r="D43" s="46" t="inlineStr">
        <is>
          <t>Guidance</t>
        </is>
      </c>
      <c r="E43" s="45" t="inlineStr">
        <is>
          <t>2024-02-22</t>
        </is>
      </c>
      <c r="F43" s="45" t="inlineStr">
        <is>
          <t>Unclear</t>
        </is>
      </c>
      <c r="G43" s="46" t="inlineStr">
        <is>
          <t>Local</t>
        </is>
      </c>
      <c r="H43" s="46" t="inlineStr">
        <is>
          <t>Other</t>
        </is>
      </c>
      <c r="I43" s="46" t="inlineStr">
        <is>
          <t>https://www.gov.uk/government/publications/nottingham-city-council-ministerial-letter-to-sir-tony-redmond-22-february-2024</t>
        </is>
      </c>
      <c r="J43" s="45" t="inlineStr">
        <is>
          <t>Yes</t>
        </is>
      </c>
      <c r="K43" s="46" t="n"/>
      <c r="L43" s="46" t="inlineStr">
        <is>
          <t>2a180fc130afb8024014f66b839cde05</t>
        </is>
      </c>
      <c r="M43" s="46" t="n"/>
    </row>
    <row r="44" ht="40" customHeight="1" s="28">
      <c r="A44" s="43" t="inlineStr">
        <is>
          <t>2026-06-08</t>
        </is>
      </c>
      <c r="B44" s="44" t="inlineStr">
        <is>
          <t>Nottingham City Council: Directions made under the Local Government Act 1999 (22 February 2024)</t>
        </is>
      </c>
      <c r="C44" s="44" t="inlineStr">
        <is>
          <t>GOV.UK</t>
        </is>
      </c>
      <c r="D44" s="44" t="inlineStr">
        <is>
          <t>Guidance</t>
        </is>
      </c>
      <c r="E44" s="43" t="inlineStr">
        <is>
          <t>2024-02-22</t>
        </is>
      </c>
      <c r="F44" s="43" t="inlineStr">
        <is>
          <t>Unclear</t>
        </is>
      </c>
      <c r="G44" s="44" t="inlineStr">
        <is>
          <t>Local</t>
        </is>
      </c>
      <c r="H44" s="44" t="inlineStr">
        <is>
          <t>Other</t>
        </is>
      </c>
      <c r="I44" s="44" t="inlineStr">
        <is>
          <t>https://www.gov.uk/government/publications/nottingham-city-council-directions-made-under-the-local-government-act-1999-22-february-2024</t>
        </is>
      </c>
      <c r="J44" s="43" t="inlineStr">
        <is>
          <t>Yes</t>
        </is>
      </c>
      <c r="K44" s="44" t="n"/>
      <c r="L44" s="44" t="inlineStr">
        <is>
          <t>145bba91104e4dbf70569b89dee1810a</t>
        </is>
      </c>
      <c r="M44" s="44" t="n"/>
    </row>
    <row r="45" ht="40" customHeight="1" s="28">
      <c r="A45" s="45" t="inlineStr">
        <is>
          <t>2026-06-08</t>
        </is>
      </c>
      <c r="B45" s="46" t="inlineStr">
        <is>
          <t>Nottingham City Council: Explanatory Memorandum (22 February 2024)</t>
        </is>
      </c>
      <c r="C45" s="46" t="inlineStr">
        <is>
          <t>GOV.UK</t>
        </is>
      </c>
      <c r="D45" s="46" t="inlineStr">
        <is>
          <t>Guidance</t>
        </is>
      </c>
      <c r="E45" s="45" t="inlineStr">
        <is>
          <t>2024-02-22</t>
        </is>
      </c>
      <c r="F45" s="45" t="inlineStr">
        <is>
          <t>Unclear</t>
        </is>
      </c>
      <c r="G45" s="46" t="inlineStr">
        <is>
          <t>Local</t>
        </is>
      </c>
      <c r="H45" s="46" t="inlineStr">
        <is>
          <t>Other</t>
        </is>
      </c>
      <c r="I45" s="46" t="inlineStr">
        <is>
          <t>https://www.gov.uk/government/publications/nottingham-city-council-explanatory-memorandum-22-february-2024</t>
        </is>
      </c>
      <c r="J45" s="45" t="inlineStr">
        <is>
          <t>Yes</t>
        </is>
      </c>
      <c r="K45" s="46" t="n"/>
      <c r="L45" s="46" t="inlineStr">
        <is>
          <t>10fde9f6a7ebdf4a7a5e61c0cda234b2</t>
        </is>
      </c>
      <c r="M45" s="46" t="n"/>
    </row>
    <row r="46" ht="40" customHeight="1" s="28">
      <c r="A46" s="43" t="inlineStr">
        <is>
          <t>2026-06-08</t>
        </is>
      </c>
      <c r="B46" s="44" t="inlineStr">
        <is>
          <t>Nottingham City Council: Representation (22 February 2024)</t>
        </is>
      </c>
      <c r="C46" s="44" t="inlineStr">
        <is>
          <t>GOV.UK</t>
        </is>
      </c>
      <c r="D46" s="44" t="inlineStr">
        <is>
          <t>Guidance</t>
        </is>
      </c>
      <c r="E46" s="43" t="inlineStr">
        <is>
          <t>2024-02-22</t>
        </is>
      </c>
      <c r="F46" s="43" t="inlineStr">
        <is>
          <t>Unclear</t>
        </is>
      </c>
      <c r="G46" s="44" t="inlineStr">
        <is>
          <t>Local</t>
        </is>
      </c>
      <c r="H46" s="44" t="inlineStr">
        <is>
          <t>Other</t>
        </is>
      </c>
      <c r="I46" s="44" t="inlineStr">
        <is>
          <t>https://www.gov.uk/government/publications/nottingham-city-council-representation-22-february-2024</t>
        </is>
      </c>
      <c r="J46" s="43" t="inlineStr">
        <is>
          <t>Yes</t>
        </is>
      </c>
      <c r="K46" s="44" t="n"/>
      <c r="L46" s="44" t="inlineStr">
        <is>
          <t>05f81d6e412bec89bd864b13642d9780</t>
        </is>
      </c>
      <c r="M46" s="44" t="n"/>
    </row>
    <row r="47" ht="40" customHeight="1" s="28">
      <c r="A47" s="45" t="inlineStr">
        <is>
          <t>2026-06-08</t>
        </is>
      </c>
      <c r="B47" s="46" t="inlineStr">
        <is>
          <t>Nottingham City Council: Letter to Sir Tony Redmond (18 May 2023)</t>
        </is>
      </c>
      <c r="C47" s="46" t="inlineStr">
        <is>
          <t>GOV.UK</t>
        </is>
      </c>
      <c r="D47" s="46" t="inlineStr">
        <is>
          <t>Guidance</t>
        </is>
      </c>
      <c r="E47" s="45" t="inlineStr">
        <is>
          <t>2023-05-18</t>
        </is>
      </c>
      <c r="F47" s="45" t="inlineStr">
        <is>
          <t>Unclear</t>
        </is>
      </c>
      <c r="G47" s="46" t="inlineStr">
        <is>
          <t>Local</t>
        </is>
      </c>
      <c r="H47" s="46" t="inlineStr">
        <is>
          <t>Other</t>
        </is>
      </c>
      <c r="I47" s="46" t="inlineStr">
        <is>
          <t>https://www.gov.uk/government/publications/nottingham-city-council-letter-to-sir-tony-redmond-18-may-2023</t>
        </is>
      </c>
      <c r="J47" s="45" t="inlineStr">
        <is>
          <t>Yes</t>
        </is>
      </c>
      <c r="K47" s="46" t="n"/>
      <c r="L47" s="46" t="inlineStr">
        <is>
          <t>3024293ec6dec3a33dac3ca850b5b94e</t>
        </is>
      </c>
      <c r="M47" s="46" t="n"/>
    </row>
    <row r="48" ht="40" customHeight="1" s="28">
      <c r="A48" s="43" t="inlineStr">
        <is>
          <t>2026-06-08</t>
        </is>
      </c>
      <c r="B48" s="44" t="inlineStr">
        <is>
          <t>Nottingham City Council: Letter to Sir Tony Redmond (2 February 2023)</t>
        </is>
      </c>
      <c r="C48" s="44" t="inlineStr">
        <is>
          <t>GOV.UK</t>
        </is>
      </c>
      <c r="D48" s="44" t="inlineStr">
        <is>
          <t>Guidance</t>
        </is>
      </c>
      <c r="E48" s="43" t="inlineStr">
        <is>
          <t>2023-02-02</t>
        </is>
      </c>
      <c r="F48" s="43" t="inlineStr">
        <is>
          <t>Unclear</t>
        </is>
      </c>
      <c r="G48" s="44" t="inlineStr">
        <is>
          <t>Local</t>
        </is>
      </c>
      <c r="H48" s="44" t="inlineStr">
        <is>
          <t>Other</t>
        </is>
      </c>
      <c r="I48" s="44" t="inlineStr">
        <is>
          <t>https://www.gov.uk/government/publications/nottingham-city-council-letter-to-sir-tony-redmond-2-february-2023</t>
        </is>
      </c>
      <c r="J48" s="43" t="inlineStr">
        <is>
          <t>Yes</t>
        </is>
      </c>
      <c r="K48" s="44" t="n"/>
      <c r="L48" s="44" t="inlineStr">
        <is>
          <t>af06ed33550e77fcda0f12683c985793</t>
        </is>
      </c>
      <c r="M48" s="44" t="n"/>
    </row>
    <row r="49" ht="40" customHeight="1" s="28">
      <c r="A49" s="45" t="inlineStr">
        <is>
          <t>2026-06-08</t>
        </is>
      </c>
      <c r="B49" s="46" t="inlineStr">
        <is>
          <t>Nottingham City Council: Letter to the Chief Executive (2 September 2022)</t>
        </is>
      </c>
      <c r="C49" s="46" t="inlineStr">
        <is>
          <t>GOV.UK</t>
        </is>
      </c>
      <c r="D49" s="46" t="inlineStr">
        <is>
          <t>Guidance</t>
        </is>
      </c>
      <c r="E49" s="45" t="inlineStr">
        <is>
          <t>2022-09-02</t>
        </is>
      </c>
      <c r="F49" s="45" t="inlineStr">
        <is>
          <t>Unclear</t>
        </is>
      </c>
      <c r="G49" s="46" t="inlineStr">
        <is>
          <t>Local</t>
        </is>
      </c>
      <c r="H49" s="46" t="inlineStr">
        <is>
          <t>Other</t>
        </is>
      </c>
      <c r="I49" s="46" t="inlineStr">
        <is>
          <t>https://www.gov.uk/government/publications/nottingham-city-council-letter-to-the-chief-executive-2-september-2022</t>
        </is>
      </c>
      <c r="J49" s="45" t="inlineStr">
        <is>
          <t>Yes</t>
        </is>
      </c>
      <c r="K49" s="46" t="n"/>
      <c r="L49" s="46" t="inlineStr">
        <is>
          <t>2a1175d02720975b8afb24a6fb1fb0da</t>
        </is>
      </c>
      <c r="M49" s="46" t="n"/>
    </row>
    <row r="50" ht="40" customHeight="1" s="28">
      <c r="A50" s="43" t="inlineStr">
        <is>
          <t>2026-06-08</t>
        </is>
      </c>
      <c r="B50" s="44" t="inlineStr">
        <is>
          <t>Nottingham City Council: Letter to Sir Tony Redmond</t>
        </is>
      </c>
      <c r="C50" s="44" t="inlineStr">
        <is>
          <t>GOV.UK</t>
        </is>
      </c>
      <c r="D50" s="44" t="inlineStr">
        <is>
          <t>Guidance</t>
        </is>
      </c>
      <c r="E50" s="43" t="inlineStr">
        <is>
          <t>2022-09-02</t>
        </is>
      </c>
      <c r="F50" s="43" t="inlineStr">
        <is>
          <t>Unclear</t>
        </is>
      </c>
      <c r="G50" s="44" t="inlineStr">
        <is>
          <t>Local</t>
        </is>
      </c>
      <c r="H50" s="44" t="inlineStr">
        <is>
          <t>Other</t>
        </is>
      </c>
      <c r="I50" s="44" t="inlineStr">
        <is>
          <t>https://www.gov.uk/government/publications/nottingham-city-council-letter-to-sir-tony-redmond</t>
        </is>
      </c>
      <c r="J50" s="43" t="inlineStr">
        <is>
          <t>Yes</t>
        </is>
      </c>
      <c r="K50" s="44" t="n"/>
      <c r="L50" s="44" t="inlineStr">
        <is>
          <t>33eef31789f3513e07cd9482e927715e</t>
        </is>
      </c>
      <c r="M50" s="44" t="n"/>
    </row>
    <row r="51" ht="40" customHeight="1" s="28">
      <c r="A51" s="45" t="inlineStr">
        <is>
          <t>2026-06-08</t>
        </is>
      </c>
      <c r="B51" s="46" t="inlineStr">
        <is>
          <t>Nottingham City Council: Directions made under the Local Government Act 1999 (2 September 2022)</t>
        </is>
      </c>
      <c r="C51" s="46" t="inlineStr">
        <is>
          <t>GOV.UK</t>
        </is>
      </c>
      <c r="D51" s="46" t="inlineStr">
        <is>
          <t>Guidance</t>
        </is>
      </c>
      <c r="E51" s="45" t="inlineStr">
        <is>
          <t>2022-09-02</t>
        </is>
      </c>
      <c r="F51" s="45" t="inlineStr">
        <is>
          <t>Unclear</t>
        </is>
      </c>
      <c r="G51" s="46" t="inlineStr">
        <is>
          <t>Local</t>
        </is>
      </c>
      <c r="H51" s="46" t="inlineStr">
        <is>
          <t>Other</t>
        </is>
      </c>
      <c r="I51" s="46" t="inlineStr">
        <is>
          <t>https://www.gov.uk/government/publications/nottingham-city-council-directions-made-under-the-local-government-act-1999-2-september-2022</t>
        </is>
      </c>
      <c r="J51" s="45" t="inlineStr">
        <is>
          <t>Yes</t>
        </is>
      </c>
      <c r="K51" s="46" t="n"/>
      <c r="L51" s="46" t="inlineStr">
        <is>
          <t>3033603f989ae2332994a65f3ce3df47</t>
        </is>
      </c>
      <c r="M51" s="46" t="n"/>
    </row>
    <row r="52" ht="40" customHeight="1" s="28">
      <c r="A52" s="43" t="inlineStr">
        <is>
          <t>2026-06-08</t>
        </is>
      </c>
      <c r="B52" s="44" t="inlineStr">
        <is>
          <t>Nottingham City Council: Explanatory Memorandum</t>
        </is>
      </c>
      <c r="C52" s="44" t="inlineStr">
        <is>
          <t>GOV.UK</t>
        </is>
      </c>
      <c r="D52" s="44" t="inlineStr">
        <is>
          <t>Guidance</t>
        </is>
      </c>
      <c r="E52" s="43" t="inlineStr">
        <is>
          <t>2022-09-02</t>
        </is>
      </c>
      <c r="F52" s="43" t="inlineStr">
        <is>
          <t>Unclear</t>
        </is>
      </c>
      <c r="G52" s="44" t="inlineStr">
        <is>
          <t>Local</t>
        </is>
      </c>
      <c r="H52" s="44" t="inlineStr">
        <is>
          <t>Other</t>
        </is>
      </c>
      <c r="I52" s="44" t="inlineStr">
        <is>
          <t>https://www.gov.uk/government/publications/nottingham-city-council-explanatory-memorandum</t>
        </is>
      </c>
      <c r="J52" s="43" t="inlineStr">
        <is>
          <t>Yes</t>
        </is>
      </c>
      <c r="K52" s="44" t="n"/>
      <c r="L52" s="44" t="inlineStr">
        <is>
          <t>a1b9b1e7a30adb3476c5cb6cbf61526c</t>
        </is>
      </c>
      <c r="M52" s="44" t="n"/>
    </row>
    <row r="53" ht="40" customHeight="1" s="28">
      <c r="A53" s="45" t="inlineStr">
        <is>
          <t>2026-06-08</t>
        </is>
      </c>
      <c r="B53" s="46" t="inlineStr">
        <is>
          <t>Nottingham City Council: Representation</t>
        </is>
      </c>
      <c r="C53" s="46" t="inlineStr">
        <is>
          <t>GOV.UK</t>
        </is>
      </c>
      <c r="D53" s="46" t="inlineStr">
        <is>
          <t>Guidance</t>
        </is>
      </c>
      <c r="E53" s="45" t="inlineStr">
        <is>
          <t>2022-09-02</t>
        </is>
      </c>
      <c r="F53" s="45" t="inlineStr">
        <is>
          <t>Unclear</t>
        </is>
      </c>
      <c r="G53" s="46" t="inlineStr">
        <is>
          <t>Local</t>
        </is>
      </c>
      <c r="H53" s="46" t="inlineStr">
        <is>
          <t>Other</t>
        </is>
      </c>
      <c r="I53" s="46" t="inlineStr">
        <is>
          <t>https://www.gov.uk/government/publications/nottingham-city-council-representation</t>
        </is>
      </c>
      <c r="J53" s="45" t="inlineStr">
        <is>
          <t>Yes</t>
        </is>
      </c>
      <c r="K53" s="46" t="n"/>
      <c r="L53" s="46" t="inlineStr">
        <is>
          <t>7774e32cabdf3f56996920439013a737</t>
        </is>
      </c>
      <c r="M53" s="46" t="n"/>
    </row>
    <row r="54" ht="40" customHeight="1" s="28">
      <c r="A54" s="43" t="inlineStr">
        <is>
          <t>2026-06-08</t>
        </is>
      </c>
      <c r="B54" s="44" t="inlineStr">
        <is>
          <t>Nottingham City Council: Letter to the Chief Executive</t>
        </is>
      </c>
      <c r="C54" s="44" t="inlineStr">
        <is>
          <t>GOV.UK</t>
        </is>
      </c>
      <c r="D54" s="44" t="inlineStr">
        <is>
          <t>Guidance</t>
        </is>
      </c>
      <c r="E54" s="43" t="inlineStr">
        <is>
          <t>2022-06-23</t>
        </is>
      </c>
      <c r="F54" s="43" t="inlineStr">
        <is>
          <t>Unclear</t>
        </is>
      </c>
      <c r="G54" s="44" t="inlineStr">
        <is>
          <t>Local</t>
        </is>
      </c>
      <c r="H54" s="44" t="inlineStr">
        <is>
          <t>Other</t>
        </is>
      </c>
      <c r="I54" s="44" t="inlineStr">
        <is>
          <t>https://www.gov.uk/government/publications/nottingham-city-council-letter-to-the-chief-executive</t>
        </is>
      </c>
      <c r="J54" s="43" t="inlineStr">
        <is>
          <t>Yes</t>
        </is>
      </c>
      <c r="K54" s="44" t="n"/>
      <c r="L54" s="44" t="inlineStr">
        <is>
          <t>d14b1f80d72f9a080f4127e336d3d554</t>
        </is>
      </c>
      <c r="M54" s="44" t="n"/>
    </row>
    <row r="55" ht="40" customHeight="1" s="28">
      <c r="A55" s="45" t="inlineStr">
        <is>
          <t>2026-06-08</t>
        </is>
      </c>
      <c r="B55" s="46" t="inlineStr">
        <is>
          <t>Non-statutory review of Nottingham City Council</t>
        </is>
      </c>
      <c r="C55" s="46" t="inlineStr">
        <is>
          <t>GOV.UK</t>
        </is>
      </c>
      <c r="D55" s="46" t="inlineStr">
        <is>
          <t>Guidance</t>
        </is>
      </c>
      <c r="E55" s="45" t="inlineStr">
        <is>
          <t>2022-06-23</t>
        </is>
      </c>
      <c r="F55" s="45" t="inlineStr">
        <is>
          <t>Unclear</t>
        </is>
      </c>
      <c r="G55" s="46" t="inlineStr">
        <is>
          <t>Local</t>
        </is>
      </c>
      <c r="H55" s="46" t="inlineStr">
        <is>
          <t>Other</t>
        </is>
      </c>
      <c r="I55" s="46" t="inlineStr">
        <is>
          <t>https://www.gov.uk/government/collections/non-statutory-review-of-nottingham-city-council</t>
        </is>
      </c>
      <c r="J55" s="45" t="inlineStr">
        <is>
          <t>Yes</t>
        </is>
      </c>
      <c r="K55" s="46" t="n"/>
      <c r="L55" s="46" t="inlineStr">
        <is>
          <t>e512c646b828c631fbf72ad76fc7953a</t>
        </is>
      </c>
      <c r="M55" s="46" t="n"/>
    </row>
    <row r="56" ht="40" customHeight="1" s="28">
      <c r="A56" s="43" t="inlineStr">
        <is>
          <t>2026-06-08</t>
        </is>
      </c>
      <c r="B56" s="44" t="inlineStr">
        <is>
          <t>English Devolution and Community Empowerment Act 2026</t>
        </is>
      </c>
      <c r="C56" s="44" t="inlineStr">
        <is>
          <t>Parliament</t>
        </is>
      </c>
      <c r="D56" s="44" t="inlineStr">
        <is>
          <t>Bill</t>
        </is>
      </c>
      <c r="E56" s="43" t="n"/>
      <c r="F56" s="43" t="inlineStr">
        <is>
          <t>Yes</t>
        </is>
      </c>
      <c r="G56" s="44" t="inlineStr">
        <is>
          <t>Transition; Manually elevated - material legislative/appointment development (LGR Transition / Audit)</t>
        </is>
      </c>
      <c r="H56" s="44" t="inlineStr">
        <is>
          <t>LGR Transition</t>
        </is>
      </c>
      <c r="I56" s="47" t="inlineStr">
        <is>
          <t>https://bills.parliament.uk/bills/4002</t>
        </is>
      </c>
      <c r="J56" s="43" t="inlineStr">
        <is>
          <t>Yes</t>
        </is>
      </c>
      <c r="K56" s="44" t="inlineStr">
        <is>
          <t>Tracked as OB-L5 (governance gap analysis) and OB-A10 (LAO transition).</t>
        </is>
      </c>
      <c r="L56" s="44" t="inlineStr">
        <is>
          <t>2cc0140e559129309466a2e5502e619e</t>
        </is>
      </c>
      <c r="M56" s="44" t="n"/>
    </row>
    <row r="57" ht="40" customHeight="1" s="28">
      <c r="A57" s="45" t="inlineStr">
        <is>
          <t>2026-06-08</t>
        </is>
      </c>
      <c r="B57" s="46" t="inlineStr">
        <is>
          <t>Bill Butler named as preferred candidate for Local Audit Office Chair</t>
        </is>
      </c>
      <c r="C57" s="46" t="inlineStr">
        <is>
          <t>PSAA</t>
        </is>
      </c>
      <c r="D57" s="46" t="inlineStr">
        <is>
          <t>PSAA Update</t>
        </is>
      </c>
      <c r="E57" s="45" t="inlineStr">
        <is>
          <t>2026-06-08</t>
        </is>
      </c>
      <c r="F57" s="45" t="inlineStr">
        <is>
          <t>Yes</t>
        </is>
      </c>
      <c r="G57" s="46" t="inlineStr">
        <is>
          <t>Audit; Manually elevated - material legislative/appointment development (Audit)</t>
        </is>
      </c>
      <c r="H57" s="46" t="inlineStr">
        <is>
          <t>Audit Procurement</t>
        </is>
      </c>
      <c r="I57" s="46" t="inlineStr">
        <is>
          <t>https://www.psaa.co.uk/2026/05/bill-butler-named-as-preferred-candidate-for-local-audit-office-chair/</t>
        </is>
      </c>
      <c r="J57" s="45" t="inlineStr">
        <is>
          <t>Yes</t>
        </is>
      </c>
      <c r="K57" s="46" t="inlineStr">
        <is>
          <t>Tracked as OB-A10 / OB-A12 (LAO transition alignment).</t>
        </is>
      </c>
      <c r="L57" s="46" t="inlineStr">
        <is>
          <t>217e8a844dbce9fac4bf4e2ffffd9c99</t>
        </is>
      </c>
      <c r="M57" s="46" t="n"/>
    </row>
    <row r="58" ht="40" customHeight="1" s="28">
      <c r="A58" s="43" t="inlineStr">
        <is>
          <t>2026-06-08</t>
        </is>
      </c>
      <c r="B58" s="44" t="inlineStr">
        <is>
          <t>PSAA appoints Adrian Lythgo as new Board member</t>
        </is>
      </c>
      <c r="C58" s="44" t="inlineStr">
        <is>
          <t>PSAA</t>
        </is>
      </c>
      <c r="D58" s="44" t="inlineStr">
        <is>
          <t>PSAA Update</t>
        </is>
      </c>
      <c r="E58" s="43" t="inlineStr">
        <is>
          <t>2026-06-08</t>
        </is>
      </c>
      <c r="F58" s="43" t="inlineStr">
        <is>
          <t>Unclear</t>
        </is>
      </c>
      <c r="G58" s="44" t="inlineStr">
        <is>
          <t>Audit</t>
        </is>
      </c>
      <c r="H58" s="44" t="inlineStr">
        <is>
          <t>Audit Procurement</t>
        </is>
      </c>
      <c r="I58" s="47" t="inlineStr">
        <is>
          <t>https://www.psaa.co.uk/2026/05/psaa-appoints-adrian-lythgo-as-new-board-member/</t>
        </is>
      </c>
      <c r="J58" s="43" t="inlineStr">
        <is>
          <t>Yes</t>
        </is>
      </c>
      <c r="K58" s="44" t="n"/>
      <c r="L58" s="44" t="inlineStr">
        <is>
          <t>295e7fbfbe3919f6276fafbd7723ca11</t>
        </is>
      </c>
      <c r="M58" s="44" t="n"/>
    </row>
    <row r="59" ht="40" customHeight="1" s="28">
      <c r="A59" s="45" t="inlineStr">
        <is>
          <t>2026-06-08</t>
        </is>
      </c>
      <c r="B59" s="46" t="inlineStr">
        <is>
          <t>English Devolution Bill receives Royal Assent</t>
        </is>
      </c>
      <c r="C59" s="46" t="inlineStr">
        <is>
          <t>PSAA</t>
        </is>
      </c>
      <c r="D59" s="46" t="inlineStr">
        <is>
          <t>PSAA Update</t>
        </is>
      </c>
      <c r="E59" s="45" t="inlineStr">
        <is>
          <t>2026-06-08</t>
        </is>
      </c>
      <c r="F59" s="45" t="inlineStr">
        <is>
          <t>Unclear</t>
        </is>
      </c>
      <c r="G59" s="46" t="inlineStr">
        <is>
          <t>Transition</t>
        </is>
      </c>
      <c r="H59" s="46" t="inlineStr">
        <is>
          <t>LGR Transition</t>
        </is>
      </c>
      <c r="I59" s="46" t="inlineStr">
        <is>
          <t>https://www.psaa.co.uk/2026/04/english-devolution-bill-receives-royal-assent/</t>
        </is>
      </c>
      <c r="J59" s="45" t="inlineStr">
        <is>
          <t>Yes</t>
        </is>
      </c>
      <c r="K59" s="46" t="n"/>
      <c r="L59" s="46" t="inlineStr">
        <is>
          <t>ba312fc132d7eae858e78fe08546b660</t>
        </is>
      </c>
      <c r="M59" s="46" t="n"/>
    </row>
    <row r="60" ht="40" customHeight="1" s="28">
      <c r="A60" s="43" t="inlineStr">
        <is>
          <t>2026-06-08</t>
        </is>
      </c>
      <c r="B60" s="44" t="inlineStr">
        <is>
          <t>Mayor joins partners as Nottingham launches bold City Vision</t>
        </is>
      </c>
      <c r="C60" s="44" t="inlineStr">
        <is>
          <t>EMCCA</t>
        </is>
      </c>
      <c r="D60" s="44" t="inlineStr">
        <is>
          <t>Guidance</t>
        </is>
      </c>
      <c r="E60" s="43" t="n"/>
      <c r="F60" s="43" t="inlineStr">
        <is>
          <t>Unclear</t>
        </is>
      </c>
      <c r="G60" s="44" t="inlineStr">
        <is>
          <t>Local</t>
        </is>
      </c>
      <c r="H60" s="44" t="inlineStr">
        <is>
          <t>Other</t>
        </is>
      </c>
      <c r="I60" s="44" t="inlineStr">
        <is>
          <t>https://www.eastmidlands-cca.gov.uk/news/nottingham-city-vision/</t>
        </is>
      </c>
      <c r="J60" s="43" t="inlineStr">
        <is>
          <t>Yes</t>
        </is>
      </c>
      <c r="K60" s="44" t="n"/>
      <c r="L60" s="44" t="inlineStr">
        <is>
          <t>c02a3a1f32c99cbf8f89477289e4e686</t>
        </is>
      </c>
      <c r="M60" s="44" t="n"/>
    </row>
    <row r="61" ht="40" customHeight="1" s="28">
      <c r="A61" s="45" t="inlineStr">
        <is>
          <t>2026-06-08</t>
        </is>
      </c>
      <c r="B61" s="46" t="inlineStr">
        <is>
          <t>Mayor welcomes Right to Request as 'devolution revolution' delivers for communities</t>
        </is>
      </c>
      <c r="C61" s="46" t="inlineStr">
        <is>
          <t>EMCCA</t>
        </is>
      </c>
      <c r="D61" s="46" t="inlineStr">
        <is>
          <t>Guidance</t>
        </is>
      </c>
      <c r="E61" s="45" t="n"/>
      <c r="F61" s="45" t="inlineStr">
        <is>
          <t>Unclear</t>
        </is>
      </c>
      <c r="G61" s="46" t="inlineStr">
        <is>
          <t>Transition</t>
        </is>
      </c>
      <c r="H61" s="46" t="inlineStr">
        <is>
          <t>LGR Transition</t>
        </is>
      </c>
      <c r="I61" s="46" t="inlineStr">
        <is>
          <t>https://www.eastmidlands-cca.gov.uk/news/right-to-request/</t>
        </is>
      </c>
      <c r="J61" s="45" t="inlineStr">
        <is>
          <t>Yes</t>
        </is>
      </c>
      <c r="K61" s="46" t="n"/>
      <c r="L61" s="46" t="inlineStr">
        <is>
          <t>55ae3f628fe09b311cad2563bb1a6772</t>
        </is>
      </c>
      <c r="M61" s="46" t="n"/>
    </row>
    <row r="62" ht="40" customHeight="1" s="28">
      <c r="A62" s="43" t="inlineStr">
        <is>
          <t>2026-06-08</t>
        </is>
      </c>
      <c r="B62" s="44" t="inlineStr">
        <is>
          <t>Delight as Mayor helps open Nottingham's first major bridge over the Trent in almost 70 years</t>
        </is>
      </c>
      <c r="C62" s="44" t="inlineStr">
        <is>
          <t>EMCCA</t>
        </is>
      </c>
      <c r="D62" s="44" t="inlineStr">
        <is>
          <t>Guidance</t>
        </is>
      </c>
      <c r="E62" s="43" t="n"/>
      <c r="F62" s="43" t="inlineStr">
        <is>
          <t>Unclear</t>
        </is>
      </c>
      <c r="G62" s="44" t="inlineStr">
        <is>
          <t>Local</t>
        </is>
      </c>
      <c r="H62" s="44" t="inlineStr">
        <is>
          <t>Other</t>
        </is>
      </c>
      <c r="I62" s="44" t="inlineStr">
        <is>
          <t>https://www.eastmidlands-cca.gov.uk/news/waterside-bridge-opens/</t>
        </is>
      </c>
      <c r="J62" s="43" t="inlineStr">
        <is>
          <t>Yes</t>
        </is>
      </c>
      <c r="K62" s="44" t="n"/>
      <c r="L62" s="44" t="inlineStr">
        <is>
          <t>c11a40c30dc7447bb458c4b1c001e5a7</t>
        </is>
      </c>
      <c r="M62" s="44" t="n"/>
    </row>
    <row r="63" ht="40" customHeight="1" s="28">
      <c r="A63" s="45" t="inlineStr">
        <is>
          <t>2026-06-08</t>
        </is>
      </c>
      <c r="B63" s="46" t="inlineStr">
        <is>
          <t>Audit Committee — meeting 31 Jul 2026 9.30 am</t>
        </is>
      </c>
      <c r="C63" s="46" t="inlineStr">
        <is>
          <t>NCC Committee</t>
        </is>
      </c>
      <c r="D63" s="46" t="inlineStr">
        <is>
          <t>Committee Paper</t>
        </is>
      </c>
      <c r="E63" s="45" t="inlineStr">
        <is>
          <t>2026-07-31</t>
        </is>
      </c>
      <c r="F63" s="45" t="inlineStr">
        <is>
          <t>Yes</t>
        </is>
      </c>
      <c r="G63" s="46" t="inlineStr">
        <is>
          <t>Local, Audit</t>
        </is>
      </c>
      <c r="H63" s="46" t="inlineStr">
        <is>
          <t>Governance and Transparency</t>
        </is>
      </c>
      <c r="I63" s="46" t="inlineStr">
        <is>
          <t>https://committee.nottinghamcity.gov.uk/ieListDocuments.aspx?CId=145&amp;MId=11775&amp;Ver=4</t>
        </is>
      </c>
      <c r="J63" s="45" t="inlineStr">
        <is>
          <t>Yes</t>
        </is>
      </c>
      <c r="K63" s="46" t="n"/>
      <c r="L63" s="46" t="inlineStr">
        <is>
          <t>9c81b083217b7e8f15e20e6550dcf8f7</t>
        </is>
      </c>
      <c r="M63" s="46" t="n"/>
    </row>
    <row r="64" ht="40" customHeight="1" s="28">
      <c r="A64" s="43" t="inlineStr">
        <is>
          <t>2026-06-08</t>
        </is>
      </c>
      <c r="B64" s="44" t="inlineStr">
        <is>
          <t>Audit Committee — meeting 26 Jun 2026 9.30 am</t>
        </is>
      </c>
      <c r="C64" s="44" t="inlineStr">
        <is>
          <t>NCC Committee</t>
        </is>
      </c>
      <c r="D64" s="44" t="inlineStr">
        <is>
          <t>Committee Paper</t>
        </is>
      </c>
      <c r="E64" s="43" t="inlineStr">
        <is>
          <t>2026-06-26</t>
        </is>
      </c>
      <c r="F64" s="43" t="inlineStr">
        <is>
          <t>Yes</t>
        </is>
      </c>
      <c r="G64" s="44" t="inlineStr">
        <is>
          <t>Local, Audit</t>
        </is>
      </c>
      <c r="H64" s="44" t="inlineStr">
        <is>
          <t>Governance and Transparency</t>
        </is>
      </c>
      <c r="I64" s="44" t="inlineStr">
        <is>
          <t>https://committee.nottinghamcity.gov.uk/ieListDocuments.aspx?CId=145&amp;MId=11601&amp;Ver=4</t>
        </is>
      </c>
      <c r="J64" s="43" t="inlineStr">
        <is>
          <t>Yes</t>
        </is>
      </c>
      <c r="K64" s="44" t="n"/>
      <c r="L64" s="44" t="inlineStr">
        <is>
          <t>988f05cdc883ae581691fd9dd43bc082</t>
        </is>
      </c>
      <c r="M64" s="44" t="n"/>
    </row>
    <row r="65" ht="40" customHeight="1" s="28">
      <c r="A65" s="45" t="inlineStr">
        <is>
          <t>2026-06-08</t>
        </is>
      </c>
      <c r="B65" s="46" t="inlineStr">
        <is>
          <t>Audit Committee — meeting 27 Mar 2026 9.30 am</t>
        </is>
      </c>
      <c r="C65" s="46" t="inlineStr">
        <is>
          <t>NCC Committee</t>
        </is>
      </c>
      <c r="D65" s="46" t="inlineStr">
        <is>
          <t>Committee Paper</t>
        </is>
      </c>
      <c r="E65" s="45" t="inlineStr">
        <is>
          <t>2026-03-27</t>
        </is>
      </c>
      <c r="F65" s="45" t="inlineStr">
        <is>
          <t>Yes</t>
        </is>
      </c>
      <c r="G65" s="46" t="inlineStr">
        <is>
          <t>Local, Audit</t>
        </is>
      </c>
      <c r="H65" s="46" t="inlineStr">
        <is>
          <t>Governance and Transparency</t>
        </is>
      </c>
      <c r="I65" s="46" t="inlineStr">
        <is>
          <t>https://committee.nottinghamcity.gov.uk/ieListDocuments.aspx?CId=145&amp;MId=11256&amp;Ver=4</t>
        </is>
      </c>
      <c r="J65" s="45" t="inlineStr">
        <is>
          <t>Yes</t>
        </is>
      </c>
      <c r="K65" s="46" t="n"/>
      <c r="L65" s="46" t="inlineStr">
        <is>
          <t>081e65a88e83aa5ca3c9e0aed7a2d2c3</t>
        </is>
      </c>
      <c r="M65" s="46" t="n"/>
    </row>
    <row r="66" ht="40" customHeight="1" s="28">
      <c r="A66" s="43" t="inlineStr">
        <is>
          <t>2026-06-08</t>
        </is>
      </c>
      <c r="B66" s="44" t="inlineStr">
        <is>
          <t>Audit Committee — meeting 20 Feb 2026 9.30 am</t>
        </is>
      </c>
      <c r="C66" s="44" t="inlineStr">
        <is>
          <t>NCC Committee</t>
        </is>
      </c>
      <c r="D66" s="44" t="inlineStr">
        <is>
          <t>Committee Paper</t>
        </is>
      </c>
      <c r="E66" s="43" t="inlineStr">
        <is>
          <t>2026-02-20</t>
        </is>
      </c>
      <c r="F66" s="43" t="inlineStr">
        <is>
          <t>Yes</t>
        </is>
      </c>
      <c r="G66" s="44" t="inlineStr">
        <is>
          <t>Local, Audit</t>
        </is>
      </c>
      <c r="H66" s="44" t="inlineStr">
        <is>
          <t>Governance and Transparency</t>
        </is>
      </c>
      <c r="I66" s="47" t="inlineStr">
        <is>
          <t>https://committee.nottinghamcity.gov.uk/ieListDocuments.aspx?CId=145&amp;MId=11255&amp;Ver=4</t>
        </is>
      </c>
      <c r="J66" s="43" t="inlineStr">
        <is>
          <t>Yes</t>
        </is>
      </c>
      <c r="K66" s="44" t="n"/>
      <c r="L66" s="44" t="inlineStr">
        <is>
          <t>7947dfbc1ac36c11ac3f5582a88d7f1a</t>
        </is>
      </c>
      <c r="M66" s="44" t="n"/>
    </row>
    <row r="67" ht="40" customHeight="1" s="28">
      <c r="A67" s="45" t="inlineStr">
        <is>
          <t>2026-06-08</t>
        </is>
      </c>
      <c r="B67" s="46" t="inlineStr">
        <is>
          <t>Audit Committee — meeting 30 Jan 2026 9.30 am</t>
        </is>
      </c>
      <c r="C67" s="46" t="inlineStr">
        <is>
          <t>NCC Committee</t>
        </is>
      </c>
      <c r="D67" s="46" t="inlineStr">
        <is>
          <t>Committee Paper</t>
        </is>
      </c>
      <c r="E67" s="45" t="inlineStr">
        <is>
          <t>2026-01-30</t>
        </is>
      </c>
      <c r="F67" s="45" t="inlineStr">
        <is>
          <t>Yes</t>
        </is>
      </c>
      <c r="G67" s="46" t="inlineStr">
        <is>
          <t>Local, Audit</t>
        </is>
      </c>
      <c r="H67" s="46" t="inlineStr">
        <is>
          <t>Governance and Transparency</t>
        </is>
      </c>
      <c r="I67" s="46" t="inlineStr">
        <is>
          <t>https://committee.nottinghamcity.gov.uk/ieListDocuments.aspx?CId=145&amp;MId=11477&amp;Ver=4</t>
        </is>
      </c>
      <c r="J67" s="45" t="inlineStr">
        <is>
          <t>Yes</t>
        </is>
      </c>
      <c r="K67" s="46" t="n"/>
      <c r="L67" s="46" t="inlineStr">
        <is>
          <t>8cbe63a69792be703749278df181fc09</t>
        </is>
      </c>
      <c r="M67" s="46" t="n"/>
    </row>
    <row r="68" ht="40" customHeight="1" s="28">
      <c r="A68" s="43" t="inlineStr">
        <is>
          <t>2026-06-08</t>
        </is>
      </c>
      <c r="B68" s="44" t="inlineStr">
        <is>
          <t>Improvement Committee — meeting 26 Nov 2026 2.00 pm</t>
        </is>
      </c>
      <c r="C68" s="44" t="inlineStr">
        <is>
          <t>NCC Committee</t>
        </is>
      </c>
      <c r="D68" s="44" t="inlineStr">
        <is>
          <t>Committee Paper</t>
        </is>
      </c>
      <c r="E68" s="43" t="inlineStr">
        <is>
          <t>2026-11-26</t>
        </is>
      </c>
      <c r="F68" s="43" t="inlineStr">
        <is>
          <t>Yes</t>
        </is>
      </c>
      <c r="G68" s="44" t="inlineStr">
        <is>
          <t>Local, Intervention</t>
        </is>
      </c>
      <c r="H68" s="44" t="inlineStr">
        <is>
          <t>Governance and Transparency</t>
        </is>
      </c>
      <c r="I68" s="47" t="inlineStr">
        <is>
          <t>https://committee.nottinghamcity.gov.uk/ieListDocuments.aspx?CId=1175&amp;MId=11731&amp;Ver=4</t>
        </is>
      </c>
      <c r="J68" s="43" t="inlineStr">
        <is>
          <t>Yes</t>
        </is>
      </c>
      <c r="K68" s="44" t="n"/>
      <c r="L68" s="44" t="inlineStr">
        <is>
          <t>1794f0fdfeb98b95d8b35be8cb10d0c4</t>
        </is>
      </c>
      <c r="M68" s="44" t="n"/>
    </row>
    <row r="69" ht="40" customHeight="1" s="28">
      <c r="A69" s="45" t="inlineStr">
        <is>
          <t>2026-06-08</t>
        </is>
      </c>
      <c r="B69" s="46" t="inlineStr">
        <is>
          <t>Improvement Committee — meeting 4 Jun 2026 2.00 pm</t>
        </is>
      </c>
      <c r="C69" s="46" t="inlineStr">
        <is>
          <t>NCC Committee</t>
        </is>
      </c>
      <c r="D69" s="46" t="inlineStr">
        <is>
          <t>Committee Paper</t>
        </is>
      </c>
      <c r="E69" s="45" t="inlineStr">
        <is>
          <t>2026-06-04</t>
        </is>
      </c>
      <c r="F69" s="45" t="inlineStr">
        <is>
          <t>Yes</t>
        </is>
      </c>
      <c r="G69" s="46" t="inlineStr">
        <is>
          <t>Local, Intervention</t>
        </is>
      </c>
      <c r="H69" s="46" t="inlineStr">
        <is>
          <t>Governance and Transparency</t>
        </is>
      </c>
      <c r="I69" s="46" t="inlineStr">
        <is>
          <t>https://committee.nottinghamcity.gov.uk/ieListDocuments.aspx?CId=1175&amp;MId=11730&amp;Ver=4</t>
        </is>
      </c>
      <c r="J69" s="45" t="inlineStr">
        <is>
          <t>Yes</t>
        </is>
      </c>
      <c r="K69" s="46" t="n"/>
      <c r="L69" s="46" t="inlineStr">
        <is>
          <t>996fb9ef9e75bca4bdbe62e7bfa5d568</t>
        </is>
      </c>
      <c r="M69" s="46" t="n"/>
    </row>
    <row r="70" ht="40" customHeight="1" s="28">
      <c r="A70" s="43" t="inlineStr">
        <is>
          <t>2026-07-21</t>
        </is>
      </c>
      <c r="B70" s="44" t="inlineStr">
        <is>
          <t>Local government reorganisation: decision letter to Nottinghamshire and Nottingham council leaders</t>
        </is>
      </c>
      <c r="C70" s="44" t="inlineStr">
        <is>
          <t>GOV.UK</t>
        </is>
      </c>
      <c r="D70" s="44" t="inlineStr">
        <is>
          <t>Guidance</t>
        </is>
      </c>
      <c r="E70" s="43" t="inlineStr">
        <is>
          <t>2026-07-16</t>
        </is>
      </c>
      <c r="F70" s="43" t="inlineStr">
        <is>
          <t>Yes</t>
        </is>
      </c>
      <c r="G70" s="44" t="inlineStr">
        <is>
          <t>Local, Intervention, Transition</t>
        </is>
      </c>
      <c r="H70" s="44" t="inlineStr">
        <is>
          <t>Governance and Transparency; LGR Transition</t>
        </is>
      </c>
      <c r="I70" s="47" t="inlineStr">
        <is>
          <t>https://assets.publishing.service.gov.uk/media/6a58d3105ca06bf11ccb42f9/Local_government_reorganisation_-_decision_letter_to_Nottinghamshire_and_Nottingham_council_leaders.pdf</t>
        </is>
      </c>
      <c r="J70" s="43" t="inlineStr">
        <is>
          <t>Yes</t>
        </is>
      </c>
      <c r="K70" s="44" t="n"/>
      <c r="L70" s="44" t="inlineStr">
        <is>
          <t>922aff122e53aa39c6b3a55c40b522e7</t>
        </is>
      </c>
      <c r="M70" s="44" t="inlineStr">
        <is>
          <t>Possible obligation (Produce)</t>
        </is>
      </c>
    </row>
    <row r="71" ht="40" customHeight="1" s="28">
      <c r="A71" s="45" t="inlineStr">
        <is>
          <t>2026-07-21</t>
        </is>
      </c>
      <c r="B71" s="46" t="inlineStr">
        <is>
          <t>Local Government Reorganisation: Nottinghamshire and Nottingham (HCWS286 written ministerial statement)</t>
        </is>
      </c>
      <c r="C71" s="46" t="inlineStr">
        <is>
          <t>Parliament</t>
        </is>
      </c>
      <c r="D71" s="46" t="inlineStr">
        <is>
          <t>Written Statement</t>
        </is>
      </c>
      <c r="E71" s="45" t="inlineStr">
        <is>
          <t>2026-07-16</t>
        </is>
      </c>
      <c r="F71" s="45" t="inlineStr">
        <is>
          <t>Yes</t>
        </is>
      </c>
      <c r="G71" s="46" t="inlineStr">
        <is>
          <t>Local, Intervention, Transition</t>
        </is>
      </c>
      <c r="H71" s="46" t="inlineStr">
        <is>
          <t>Governance and Transparency; LGR Transition</t>
        </is>
      </c>
      <c r="I71" s="46" t="inlineStr">
        <is>
          <t>https://questions-statements.parliament.uk/written-statements/detail/2026-07-16/hcws286</t>
        </is>
      </c>
      <c r="J71" s="45" t="n"/>
      <c r="K71" s="46" t="n"/>
      <c r="L71" s="46" t="inlineStr">
        <is>
          <t>1d8ab81c3bfc61ea7fc7d6a6b85fc6c3</t>
        </is>
      </c>
      <c r="M71" s="46" t="n"/>
    </row>
    <row r="72" ht="40" customHeight="1" s="28">
      <c r="A72" s="43" t="inlineStr">
        <is>
          <t>2026-08-04</t>
        </is>
      </c>
      <c r="B72" s="44" t="inlineStr">
        <is>
          <t>Local audit reform: a strategy for overhauling the local audit system in England</t>
        </is>
      </c>
      <c r="C72" s="44" t="inlineStr">
        <is>
          <t>GOV.UK</t>
        </is>
      </c>
      <c r="D72" s="44" t="inlineStr">
        <is>
          <t>Guidance</t>
        </is>
      </c>
      <c r="E72" s="43" t="inlineStr">
        <is>
          <t>2025-04-09</t>
        </is>
      </c>
      <c r="F72" s="43" t="inlineStr">
        <is>
          <t>Unclear</t>
        </is>
      </c>
      <c r="G72" s="44" t="inlineStr">
        <is>
          <t>Audit</t>
        </is>
      </c>
      <c r="H72" s="44" t="inlineStr">
        <is>
          <t>Other</t>
        </is>
      </c>
      <c r="I72" s="44" t="inlineStr">
        <is>
          <t>https://www.gov.uk/government/consultations/local-audit-reform-a-strategy-for-overhauling-the-local-audit-system-in-england</t>
        </is>
      </c>
      <c r="J72" s="43" t="n"/>
      <c r="K72" s="44" t="n"/>
      <c r="L72" s="44" t="inlineStr">
        <is>
          <t>1e50fd52139280b50193981c1ba379b0</t>
        </is>
      </c>
      <c r="M72" s="44" t="n"/>
    </row>
    <row r="73" ht="40" customHeight="1" s="28">
      <c r="A73" s="45" t="inlineStr">
        <is>
          <t>2026-08-04</t>
        </is>
      </c>
      <c r="B73" s="46" t="inlineStr">
        <is>
          <t>Overhaul of local audit will restore trust in broken system</t>
        </is>
      </c>
      <c r="C73" s="46" t="inlineStr">
        <is>
          <t>GOV.UK</t>
        </is>
      </c>
      <c r="D73" s="46" t="inlineStr">
        <is>
          <t>News</t>
        </is>
      </c>
      <c r="E73" s="45" t="inlineStr">
        <is>
          <t>2025-04-09</t>
        </is>
      </c>
      <c r="F73" s="45" t="inlineStr">
        <is>
          <t>Unclear</t>
        </is>
      </c>
      <c r="G73" s="46" t="inlineStr">
        <is>
          <t>Audit</t>
        </is>
      </c>
      <c r="H73" s="46" t="inlineStr">
        <is>
          <t>Other</t>
        </is>
      </c>
      <c r="I73" s="46" t="inlineStr">
        <is>
          <t>https://www.gov.uk/government/news/overhaul-of-local-audit-will-restore-trust-in-broken-system</t>
        </is>
      </c>
      <c r="J73" s="45" t="n"/>
      <c r="K73" s="46" t="n"/>
      <c r="L73" s="46" t="inlineStr">
        <is>
          <t>595b8a1f7de7752984dfe92a59f54894</t>
        </is>
      </c>
      <c r="M73" s="46" t="n"/>
    </row>
    <row r="74" ht="40" customHeight="1" s="28">
      <c r="A74" s="43" t="inlineStr">
        <is>
          <t>2026-08-04</t>
        </is>
      </c>
      <c r="B74" s="44" t="inlineStr">
        <is>
          <t>Significant measures to tackle worsening backlog in local audit</t>
        </is>
      </c>
      <c r="C74" s="44" t="inlineStr">
        <is>
          <t>GOV.UK</t>
        </is>
      </c>
      <c r="D74" s="44" t="inlineStr">
        <is>
          <t>News</t>
        </is>
      </c>
      <c r="E74" s="43" t="inlineStr">
        <is>
          <t>2024-07-31</t>
        </is>
      </c>
      <c r="F74" s="43" t="inlineStr">
        <is>
          <t>Unclear</t>
        </is>
      </c>
      <c r="G74" s="44" t="inlineStr">
        <is>
          <t>Audit</t>
        </is>
      </c>
      <c r="H74" s="44" t="inlineStr">
        <is>
          <t>Other</t>
        </is>
      </c>
      <c r="I74" s="44" t="inlineStr">
        <is>
          <t>https://www.gov.uk/government/news/significant-measures-to-tackle-worsening-backlog-in-local-audit</t>
        </is>
      </c>
      <c r="J74" s="43" t="n"/>
      <c r="K74" s="44" t="n"/>
      <c r="L74" s="44" t="inlineStr">
        <is>
          <t>09af165bcc3e16220f2556e5eac75d06</t>
        </is>
      </c>
      <c r="M74" s="44" t="n"/>
    </row>
    <row r="75" ht="40" customHeight="1" s="28">
      <c r="A75" s="45" t="inlineStr">
        <is>
          <t>2026-08-04</t>
        </is>
      </c>
      <c r="B75" s="46" t="inlineStr">
        <is>
          <t>English Devolution and Community Empowerment Bill​: Guidance</t>
        </is>
      </c>
      <c r="C75" s="46" t="inlineStr">
        <is>
          <t>GOV.UK</t>
        </is>
      </c>
      <c r="D75" s="46" t="inlineStr">
        <is>
          <t>Guidance</t>
        </is>
      </c>
      <c r="E75" s="45" t="inlineStr">
        <is>
          <t>2025-12-03</t>
        </is>
      </c>
      <c r="F75" s="45" t="inlineStr">
        <is>
          <t>Unclear</t>
        </is>
      </c>
      <c r="G75" s="46" t="inlineStr">
        <is>
          <t>Transition</t>
        </is>
      </c>
      <c r="H75" s="46" t="inlineStr">
        <is>
          <t>LGR Transition</t>
        </is>
      </c>
      <c r="I75" s="46" t="inlineStr">
        <is>
          <t>https://www.gov.uk/government/publications/english-devolution-and-community-empowerment-bill-guidance</t>
        </is>
      </c>
      <c r="J75" s="45" t="n"/>
      <c r="K75" s="46" t="n"/>
      <c r="L75" s="46" t="inlineStr">
        <is>
          <t>16b9e2e8c7ceba6ecc3c638046c17851</t>
        </is>
      </c>
      <c r="M75" s="46" t="n"/>
    </row>
    <row r="76" ht="40" customHeight="1" s="28">
      <c r="A76" s="43" t="inlineStr">
        <is>
          <t>2026-08-04</t>
        </is>
      </c>
      <c r="B76" s="44" t="inlineStr">
        <is>
          <t>Addressing the local audit backlog in England: Consultation</t>
        </is>
      </c>
      <c r="C76" s="44" t="inlineStr">
        <is>
          <t>GOV.UK</t>
        </is>
      </c>
      <c r="D76" s="44" t="inlineStr">
        <is>
          <t>Guidance</t>
        </is>
      </c>
      <c r="E76" s="43" t="inlineStr">
        <is>
          <t>2024-09-09</t>
        </is>
      </c>
      <c r="F76" s="43" t="inlineStr">
        <is>
          <t>Unclear</t>
        </is>
      </c>
      <c r="G76" s="44" t="inlineStr">
        <is>
          <t>Audit</t>
        </is>
      </c>
      <c r="H76" s="44" t="inlineStr">
        <is>
          <t>Other</t>
        </is>
      </c>
      <c r="I76" s="44" t="inlineStr">
        <is>
          <t>https://www.gov.uk/government/consultations/addressing-the-local-audit-backlog-in-england-consultation</t>
        </is>
      </c>
      <c r="J76" s="43" t="n"/>
      <c r="K76" s="44" t="n"/>
      <c r="L76" s="44" t="inlineStr">
        <is>
          <t>279e71bf26b79d07a9933620d57a4d83</t>
        </is>
      </c>
      <c r="M76" s="44" t="n"/>
    </row>
    <row r="77" ht="40" customHeight="1" s="28">
      <c r="A77" s="45" t="inlineStr">
        <is>
          <t>2026-08-04</t>
        </is>
      </c>
      <c r="B77" s="46" t="inlineStr">
        <is>
          <t>Lessons learnt from best value interventions 2025</t>
        </is>
      </c>
      <c r="C77" s="46" t="inlineStr">
        <is>
          <t>GOV.UK</t>
        </is>
      </c>
      <c r="D77" s="46" t="inlineStr">
        <is>
          <t>Guidance</t>
        </is>
      </c>
      <c r="E77" s="45" t="inlineStr">
        <is>
          <t>2026-03-19</t>
        </is>
      </c>
      <c r="F77" s="45" t="inlineStr">
        <is>
          <t>Unclear</t>
        </is>
      </c>
      <c r="G77" s="46" t="inlineStr">
        <is>
          <t>Intervention</t>
        </is>
      </c>
      <c r="H77" s="46" t="inlineStr">
        <is>
          <t>Governance and Transparency</t>
        </is>
      </c>
      <c r="I77" s="46" t="inlineStr">
        <is>
          <t>https://www.gov.uk/government/publications/lessons-learnt-from-best-value-interventions-2025</t>
        </is>
      </c>
      <c r="J77" s="45" t="n"/>
      <c r="K77" s="46" t="n"/>
      <c r="L77" s="46" t="inlineStr">
        <is>
          <t>a77b9642ac9e627208a1772ec5998775</t>
        </is>
      </c>
      <c r="M77" s="46" t="n"/>
    </row>
    <row r="78" ht="40" customHeight="1" s="28">
      <c r="A78" s="43" t="inlineStr">
        <is>
          <t>2026-08-04</t>
        </is>
      </c>
      <c r="B78" s="44" t="inlineStr">
        <is>
          <t>Local Audit Office</t>
        </is>
      </c>
      <c r="C78" s="44" t="inlineStr">
        <is>
          <t>GOV.UK</t>
        </is>
      </c>
      <c r="D78" s="44" t="inlineStr">
        <is>
          <t>Guidance</t>
        </is>
      </c>
      <c r="E78" s="43" t="inlineStr">
        <is>
          <t>2026-06-22</t>
        </is>
      </c>
      <c r="F78" s="43" t="inlineStr">
        <is>
          <t>Unclear</t>
        </is>
      </c>
      <c r="G78" s="44" t="inlineStr">
        <is>
          <t>Audit</t>
        </is>
      </c>
      <c r="H78" s="44" t="inlineStr">
        <is>
          <t>Audit Procurement</t>
        </is>
      </c>
      <c r="I78" s="44" t="inlineStr">
        <is>
          <t>https://www.gov.uk/government/organisations/local-audit-office</t>
        </is>
      </c>
      <c r="J78" s="43" t="n"/>
      <c r="K78" s="44" t="n"/>
      <c r="L78" s="44" t="inlineStr">
        <is>
          <t>3eba031140dc72f1ae9b6ac98e647e4c</t>
        </is>
      </c>
      <c r="M78" s="44" t="n"/>
    </row>
    <row r="79" ht="40" customHeight="1" s="28">
      <c r="A79" s="45" t="inlineStr">
        <is>
          <t>2026-08-04</t>
        </is>
      </c>
      <c r="B79" s="46" t="inlineStr">
        <is>
          <t>Local Audit Office chair: appointment</t>
        </is>
      </c>
      <c r="C79" s="46" t="inlineStr">
        <is>
          <t>GOV.UK</t>
        </is>
      </c>
      <c r="D79" s="46" t="inlineStr">
        <is>
          <t>Correspondence</t>
        </is>
      </c>
      <c r="E79" s="45" t="inlineStr">
        <is>
          <t>2026-07-01</t>
        </is>
      </c>
      <c r="F79" s="45" t="inlineStr">
        <is>
          <t>Unclear</t>
        </is>
      </c>
      <c r="G79" s="46" t="inlineStr">
        <is>
          <t>Audit</t>
        </is>
      </c>
      <c r="H79" s="46" t="inlineStr">
        <is>
          <t>Audit Procurement</t>
        </is>
      </c>
      <c r="I79" s="46" t="inlineStr">
        <is>
          <t>https://www.gov.uk/government/publications/local-audit-office-chair-appointment</t>
        </is>
      </c>
      <c r="J79" s="45" t="n"/>
      <c r="K79" s="46" t="n"/>
      <c r="L79" s="46" t="inlineStr">
        <is>
          <t>294ef69ec5d17b913c08f8082856d47d</t>
        </is>
      </c>
      <c r="M79" s="46" t="n"/>
    </row>
    <row r="80" ht="40" customHeight="1" s="28">
      <c r="A80" s="43" t="inlineStr">
        <is>
          <t>2026-08-04</t>
        </is>
      </c>
      <c r="B80" s="44" t="inlineStr">
        <is>
          <t>Addressing the local audit backlog in England: Non-compliance lists</t>
        </is>
      </c>
      <c r="C80" s="44" t="inlineStr">
        <is>
          <t>GOV.UK</t>
        </is>
      </c>
      <c r="D80" s="44" t="inlineStr">
        <is>
          <t>Report</t>
        </is>
      </c>
      <c r="E80" s="43" t="inlineStr">
        <is>
          <t>2026-03-26</t>
        </is>
      </c>
      <c r="F80" s="43" t="inlineStr">
        <is>
          <t>Unclear</t>
        </is>
      </c>
      <c r="G80" s="44" t="inlineStr">
        <is>
          <t>Audit</t>
        </is>
      </c>
      <c r="H80" s="44" t="inlineStr">
        <is>
          <t>Financial Reporting</t>
        </is>
      </c>
      <c r="I80" s="44" t="inlineStr">
        <is>
          <t>https://www.gov.uk/government/publications/addressing-the-local-audit-backlog-in-england-non-compliance-lists</t>
        </is>
      </c>
      <c r="J80" s="43" t="n"/>
      <c r="K80" s="44" t="n"/>
      <c r="L80" s="44" t="inlineStr">
        <is>
          <t>db9c28badc4bf466701e6683e8aecaa5</t>
        </is>
      </c>
      <c r="M80" s="44" t="n"/>
    </row>
    <row r="81" ht="40" customHeight="1" s="28">
      <c r="A81" s="45" t="inlineStr">
        <is>
          <t>2026-08-04</t>
        </is>
      </c>
      <c r="B81" s="46" t="inlineStr">
        <is>
          <t>Audit build-back grant 2024 to 2025: technical note</t>
        </is>
      </c>
      <c r="C81" s="46" t="inlineStr">
        <is>
          <t>GOV.UK</t>
        </is>
      </c>
      <c r="D81" s="46" t="inlineStr">
        <is>
          <t>Guidance</t>
        </is>
      </c>
      <c r="E81" s="45" t="inlineStr">
        <is>
          <t>2026-01-06</t>
        </is>
      </c>
      <c r="F81" s="45" t="inlineStr">
        <is>
          <t>Unclear</t>
        </is>
      </c>
      <c r="G81" s="46" t="inlineStr">
        <is>
          <t>Audit</t>
        </is>
      </c>
      <c r="H81" s="46" t="inlineStr">
        <is>
          <t>Financial Reporting; Internal Controls</t>
        </is>
      </c>
      <c r="I81" s="46" t="inlineStr">
        <is>
          <t>https://www.gov.uk/government/publications/audit-build-back-grant-2024-to-2025-technical-note</t>
        </is>
      </c>
      <c r="J81" s="45" t="n"/>
      <c r="K81" s="46" t="n"/>
      <c r="L81" s="46" t="inlineStr">
        <is>
          <t>db8fd40e6261bece0591fd6498698a6e</t>
        </is>
      </c>
      <c r="M81" s="46" t="n"/>
    </row>
    <row r="82" ht="40" customHeight="1" s="28">
      <c r="A82" s="43" t="inlineStr">
        <is>
          <t>2026-08-04</t>
        </is>
      </c>
      <c r="B82" s="44" t="inlineStr">
        <is>
          <t>Addressing the local audit backlog: modified or disclaimed audit opinions</t>
        </is>
      </c>
      <c r="C82" s="44" t="inlineStr">
        <is>
          <t>GOV.UK</t>
        </is>
      </c>
      <c r="D82" s="44" t="inlineStr">
        <is>
          <t>Guidance</t>
        </is>
      </c>
      <c r="E82" s="43" t="inlineStr">
        <is>
          <t>2024-11-27</t>
        </is>
      </c>
      <c r="F82" s="43" t="inlineStr">
        <is>
          <t>Unclear</t>
        </is>
      </c>
      <c r="G82" s="44" t="inlineStr">
        <is>
          <t>Audit</t>
        </is>
      </c>
      <c r="H82" s="44" t="inlineStr">
        <is>
          <t>Other</t>
        </is>
      </c>
      <c r="I82" s="44" t="inlineStr">
        <is>
          <t>https://www.gov.uk/government/publications/addressing-the-local-audit-backlog-modified-or-disclaimed-audit-opinions</t>
        </is>
      </c>
      <c r="J82" s="43" t="n"/>
      <c r="K82" s="44" t="n"/>
      <c r="L82" s="44" t="inlineStr">
        <is>
          <t>c572e48d8239344b00d316e2a34fb21e</t>
        </is>
      </c>
      <c r="M82" s="44" t="n"/>
    </row>
    <row r="83" ht="40" customHeight="1" s="28">
      <c r="A83" s="45" t="inlineStr">
        <is>
          <t>2026-08-04</t>
        </is>
      </c>
      <c r="B83" s="46" t="inlineStr">
        <is>
          <t>Plan-making and local government reorganisation</t>
        </is>
      </c>
      <c r="C83" s="46" t="inlineStr">
        <is>
          <t>GOV.UK</t>
        </is>
      </c>
      <c r="D83" s="46" t="inlineStr">
        <is>
          <t>Guidance</t>
        </is>
      </c>
      <c r="E83" s="45" t="inlineStr">
        <is>
          <t>2026-07-06</t>
        </is>
      </c>
      <c r="F83" s="45" t="inlineStr">
        <is>
          <t>Unclear</t>
        </is>
      </c>
      <c r="G83" s="46" t="inlineStr">
        <is>
          <t>Transition</t>
        </is>
      </c>
      <c r="H83" s="46" t="inlineStr">
        <is>
          <t>LGR Transition</t>
        </is>
      </c>
      <c r="I83" s="46" t="inlineStr">
        <is>
          <t>https://www.gov.uk/guidance/plan-making-and-local-government-reorganisation</t>
        </is>
      </c>
      <c r="J83" s="45" t="n"/>
      <c r="K83" s="46" t="n"/>
      <c r="L83" s="46" t="inlineStr">
        <is>
          <t>1b7951e7c4e2df1dc78646934093d82b</t>
        </is>
      </c>
      <c r="M83" s="46" t="n"/>
    </row>
    <row r="84" ht="40" customHeight="1" s="28">
      <c r="A84" s="43" t="inlineStr">
        <is>
          <t>2026-08-04</t>
        </is>
      </c>
      <c r="B84" s="44" t="inlineStr">
        <is>
          <t>Local government reorganisation: staffing issues guidance</t>
        </is>
      </c>
      <c r="C84" s="44" t="inlineStr">
        <is>
          <t>GOV.UK</t>
        </is>
      </c>
      <c r="D84" s="44" t="inlineStr">
        <is>
          <t>Guidance</t>
        </is>
      </c>
      <c r="E84" s="43" t="inlineStr">
        <is>
          <t>2026-07-16</t>
        </is>
      </c>
      <c r="F84" s="43" t="inlineStr">
        <is>
          <t>Yes</t>
        </is>
      </c>
      <c r="G84" s="44" t="inlineStr">
        <is>
          <t>Transition</t>
        </is>
      </c>
      <c r="H84" s="44" t="inlineStr">
        <is>
          <t>LGR Transition</t>
        </is>
      </c>
      <c r="I84" s="44" t="inlineStr">
        <is>
          <t>https://www.gov.uk/government/publications/local-government-reorganisation-staffing-issues-guidance</t>
        </is>
      </c>
      <c r="J84" s="43" t="inlineStr">
        <is>
          <t>Yes</t>
        </is>
      </c>
      <c r="K84" s="44" t="inlineStr">
        <is>
          <t>REVIEWER OVERRIDE: auto-scored Unclear (title matches Transition only, does not name Nottingham). Judged material by review. Non-statutory MHCLG guidance (16 Jul 2026, overview PDF added 30 Jul) on appointment and transfer of employees to new single-tier councils. Bears on OB-L1 day-one transition and on A-023 HR operating-model work. Tracked via A-025 and A-026.</t>
        </is>
      </c>
      <c r="L84" s="44" t="inlineStr">
        <is>
          <t>e03687434a9f6ff2bd10efccad59e4ee</t>
        </is>
      </c>
      <c r="M84" s="44" t="n"/>
    </row>
    <row r="85" ht="40" customHeight="1" s="28">
      <c r="A85" s="45" t="inlineStr">
        <is>
          <t>2026-08-04</t>
        </is>
      </c>
      <c r="B85" s="46" t="inlineStr">
        <is>
          <t>Local government reorganisation: guidance on sector support</t>
        </is>
      </c>
      <c r="C85" s="46" t="inlineStr">
        <is>
          <t>GOV.UK</t>
        </is>
      </c>
      <c r="D85" s="46" t="inlineStr">
        <is>
          <t>Guidance</t>
        </is>
      </c>
      <c r="E85" s="45" t="inlineStr">
        <is>
          <t>2026-07-16</t>
        </is>
      </c>
      <c r="F85" s="45" t="inlineStr">
        <is>
          <t>Unclear</t>
        </is>
      </c>
      <c r="G85" s="46" t="inlineStr">
        <is>
          <t>Transition</t>
        </is>
      </c>
      <c r="H85" s="46" t="inlineStr">
        <is>
          <t>LGR Transition</t>
        </is>
      </c>
      <c r="I85" s="46" t="inlineStr">
        <is>
          <t>https://www.gov.uk/government/publications/local-government-reorganisation-guidance-on-sector-support</t>
        </is>
      </c>
      <c r="J85" s="45" t="n"/>
      <c r="K85" s="46" t="n"/>
      <c r="L85" s="46" t="inlineStr">
        <is>
          <t>079aa32d39a3c253672b49a9b9115fca</t>
        </is>
      </c>
      <c r="M85" s="46" t="n"/>
    </row>
    <row r="86" ht="40" customHeight="1" s="28">
      <c r="A86" s="43" t="inlineStr">
        <is>
          <t>2026-08-04</t>
        </is>
      </c>
      <c r="B86" s="44" t="inlineStr">
        <is>
          <t>Local Government Pension Scheme administering authorities: local government reorganisation</t>
        </is>
      </c>
      <c r="C86" s="44" t="inlineStr">
        <is>
          <t>GOV.UK</t>
        </is>
      </c>
      <c r="D86" s="44" t="inlineStr">
        <is>
          <t>Guidance</t>
        </is>
      </c>
      <c r="E86" s="43" t="inlineStr">
        <is>
          <t>2026-07-30</t>
        </is>
      </c>
      <c r="F86" s="43" t="inlineStr">
        <is>
          <t>Unclear</t>
        </is>
      </c>
      <c r="G86" s="44" t="inlineStr">
        <is>
          <t>Transition</t>
        </is>
      </c>
      <c r="H86" s="44" t="inlineStr">
        <is>
          <t>LGR Transition</t>
        </is>
      </c>
      <c r="I86" s="44" t="inlineStr">
        <is>
          <t>https://www.gov.uk/government/publications/local-government-pension-scheme-administering-authorities-local-government-reorganisation</t>
        </is>
      </c>
      <c r="J86" s="43" t="n"/>
      <c r="K86" s="44" t="n"/>
      <c r="L86" s="44" t="inlineStr">
        <is>
          <t>2f8d70b7509f53dbfd93934bc4bda539</t>
        </is>
      </c>
      <c r="M86" s="44" t="n"/>
    </row>
    <row r="87" ht="40" customHeight="1" s="28">
      <c r="A87" s="45" t="inlineStr">
        <is>
          <t>2026-08-04</t>
        </is>
      </c>
      <c r="B87" s="46" t="inlineStr">
        <is>
          <t>Local government reorganisation: implementation letters to council chief executives</t>
        </is>
      </c>
      <c r="C87" s="46" t="inlineStr">
        <is>
          <t>GOV.UK</t>
        </is>
      </c>
      <c r="D87" s="46" t="inlineStr">
        <is>
          <t>Correspondence</t>
        </is>
      </c>
      <c r="E87" s="45" t="inlineStr">
        <is>
          <t>2026-07-19</t>
        </is>
      </c>
      <c r="F87" s="45" t="inlineStr">
        <is>
          <t>Unclear</t>
        </is>
      </c>
      <c r="G87" s="46" t="inlineStr">
        <is>
          <t>Transition</t>
        </is>
      </c>
      <c r="H87" s="46" t="inlineStr">
        <is>
          <t>LGR Transition</t>
        </is>
      </c>
      <c r="I87" s="46" t="inlineStr">
        <is>
          <t>https://www.gov.uk/government/publications/local-government-reorganisation-implementation-letters-to-council-chief-executives</t>
        </is>
      </c>
      <c r="J87" s="45" t="n"/>
      <c r="K87" s="46" t="n"/>
      <c r="L87" s="46" t="inlineStr">
        <is>
          <t>35548d7dca67af2b3c68a8f6424f960f</t>
        </is>
      </c>
      <c r="M87" s="46" t="n"/>
    </row>
    <row r="88" ht="40" customHeight="1" s="28">
      <c r="A88" s="43" t="inlineStr">
        <is>
          <t>2026-08-04</t>
        </is>
      </c>
      <c r="B88" s="44" t="inlineStr">
        <is>
          <t>Local government reorganisation: implementation letter to Nottinghamshire and Nottingham chief executives</t>
        </is>
      </c>
      <c r="C88" s="44" t="inlineStr">
        <is>
          <t>GOV.UK</t>
        </is>
      </c>
      <c r="D88" s="44" t="inlineStr">
        <is>
          <t>Correspondence</t>
        </is>
      </c>
      <c r="E88" s="43" t="inlineStr">
        <is>
          <t>2026-07-29</t>
        </is>
      </c>
      <c r="F88" s="43" t="inlineStr">
        <is>
          <t>Yes</t>
        </is>
      </c>
      <c r="G88" s="44" t="inlineStr">
        <is>
          <t>Local, Transition</t>
        </is>
      </c>
      <c r="H88" s="44" t="inlineStr">
        <is>
          <t>LGR Transition</t>
        </is>
      </c>
      <c r="I88" s="44" t="inlineStr">
        <is>
          <t>https://www.gov.uk/government/publications/local-government-reorganisation-implementation-letter-to-nottinghamshire-and-nottingham-chief-executives</t>
        </is>
      </c>
      <c r="J88" s="43" t="n"/>
      <c r="K88" s="44" t="n"/>
      <c r="L88" s="44" t="inlineStr">
        <is>
          <t>b575f8401a24a4c352800aed621914c3</t>
        </is>
      </c>
      <c r="M88" s="44" t="n"/>
    </row>
    <row r="89" ht="40" customHeight="1" s="28">
      <c r="A89" s="45" t="inlineStr">
        <is>
          <t>2026-08-04</t>
        </is>
      </c>
      <c r="B89" s="46" t="inlineStr">
        <is>
          <t>Local government reorganisation: decision letters to council leaders</t>
        </is>
      </c>
      <c r="C89" s="46" t="inlineStr">
        <is>
          <t>GOV.UK</t>
        </is>
      </c>
      <c r="D89" s="46" t="inlineStr">
        <is>
          <t>Correspondence</t>
        </is>
      </c>
      <c r="E89" s="45" t="inlineStr">
        <is>
          <t>2026-07-16</t>
        </is>
      </c>
      <c r="F89" s="45" t="inlineStr">
        <is>
          <t>Unclear</t>
        </is>
      </c>
      <c r="G89" s="46" t="inlineStr">
        <is>
          <t>Transition</t>
        </is>
      </c>
      <c r="H89" s="46" t="inlineStr">
        <is>
          <t>LGR Transition</t>
        </is>
      </c>
      <c r="I89" s="46" t="inlineStr">
        <is>
          <t>https://www.gov.uk/government/publications/local-government-reorganisation-decision-letters-to-council-leaders</t>
        </is>
      </c>
      <c r="J89" s="45" t="n"/>
      <c r="K89" s="46" t="n"/>
      <c r="L89" s="46" t="inlineStr">
        <is>
          <t>000ecc83caf10cfb692d24b886f3ad2c</t>
        </is>
      </c>
      <c r="M89" s="46" t="n"/>
    </row>
    <row r="90" ht="40" customHeight="1" s="28">
      <c r="A90" s="43" t="inlineStr">
        <is>
          <t>2026-08-04</t>
        </is>
      </c>
      <c r="B90" s="44" t="inlineStr">
        <is>
          <t>English Devolution and Community Empowerment Bill</t>
        </is>
      </c>
      <c r="C90" s="44" t="inlineStr">
        <is>
          <t>GOV.UK</t>
        </is>
      </c>
      <c r="D90" s="44" t="inlineStr">
        <is>
          <t>Guidance</t>
        </is>
      </c>
      <c r="E90" s="43" t="inlineStr">
        <is>
          <t>2025-07-09</t>
        </is>
      </c>
      <c r="F90" s="43" t="inlineStr">
        <is>
          <t>Unclear</t>
        </is>
      </c>
      <c r="G90" s="44" t="inlineStr">
        <is>
          <t>Transition</t>
        </is>
      </c>
      <c r="H90" s="44" t="inlineStr">
        <is>
          <t>LGR Transition</t>
        </is>
      </c>
      <c r="I90" s="44" t="inlineStr">
        <is>
          <t>https://www.gov.uk/government/collections/english-devolution-and-community-empowerment-bill</t>
        </is>
      </c>
      <c r="J90" s="43" t="n"/>
      <c r="K90" s="44" t="n"/>
      <c r="L90" s="44" t="inlineStr">
        <is>
          <t>6b7abc0e2ce54f1af28d0306b0ac561d</t>
        </is>
      </c>
      <c r="M90" s="44" t="n"/>
    </row>
    <row r="91" ht="40" customHeight="1" s="28">
      <c r="A91" s="45" t="inlineStr">
        <is>
          <t>2026-08-04</t>
        </is>
      </c>
      <c r="B91" s="46" t="inlineStr">
        <is>
          <t>English Devolution and Community Empowerment Bill: European Convention on Human Rights Memorandum</t>
        </is>
      </c>
      <c r="C91" s="46" t="inlineStr">
        <is>
          <t>GOV.UK</t>
        </is>
      </c>
      <c r="D91" s="46" t="inlineStr">
        <is>
          <t>Guidance</t>
        </is>
      </c>
      <c r="E91" s="45" t="inlineStr">
        <is>
          <t>2025-11-27</t>
        </is>
      </c>
      <c r="F91" s="45" t="inlineStr">
        <is>
          <t>Unclear</t>
        </is>
      </c>
      <c r="G91" s="46" t="inlineStr">
        <is>
          <t>Transition</t>
        </is>
      </c>
      <c r="H91" s="46" t="inlineStr">
        <is>
          <t>LGR Transition</t>
        </is>
      </c>
      <c r="I91" s="46" t="inlineStr">
        <is>
          <t>https://www.gov.uk/government/publications/english-devolution-and-community-empowerment-bill-european-convention-on-human-rights-memorandum</t>
        </is>
      </c>
      <c r="J91" s="45" t="n"/>
      <c r="K91" s="46" t="n"/>
      <c r="L91" s="46" t="inlineStr">
        <is>
          <t>b2048dae4dd6782b1696ea33a681b21b</t>
        </is>
      </c>
      <c r="M91" s="46" t="n"/>
    </row>
    <row r="92" ht="40" customHeight="1" s="28">
      <c r="A92" s="43" t="inlineStr">
        <is>
          <t>2026-08-04</t>
        </is>
      </c>
      <c r="B92" s="44" t="inlineStr">
        <is>
          <t>RPC opinion: English Devolution and Community Empowerment Bill impact assessment</t>
        </is>
      </c>
      <c r="C92" s="44" t="inlineStr">
        <is>
          <t>GOV.UK</t>
        </is>
      </c>
      <c r="D92" s="44" t="inlineStr">
        <is>
          <t>Guidance</t>
        </is>
      </c>
      <c r="E92" s="43" t="inlineStr">
        <is>
          <t>2025-07-09</t>
        </is>
      </c>
      <c r="F92" s="43" t="inlineStr">
        <is>
          <t>Unclear</t>
        </is>
      </c>
      <c r="G92" s="44" t="inlineStr">
        <is>
          <t>Transition</t>
        </is>
      </c>
      <c r="H92" s="44" t="inlineStr">
        <is>
          <t>LGR Transition</t>
        </is>
      </c>
      <c r="I92" s="44" t="inlineStr">
        <is>
          <t>https://www.gov.uk/government/publications/english-devolution-bill-ia-rpc-opinion-green-rated</t>
        </is>
      </c>
      <c r="J92" s="43" t="n"/>
      <c r="K92" s="44" t="n"/>
      <c r="L92" s="44" t="inlineStr">
        <is>
          <t>feeff1a3acec4f4561ec027af42d195b</t>
        </is>
      </c>
      <c r="M92" s="44" t="n"/>
    </row>
    <row r="93" ht="40" customHeight="1" s="28">
      <c r="A93" s="45" t="inlineStr">
        <is>
          <t>2026-08-04</t>
        </is>
      </c>
      <c r="B93" s="46" t="inlineStr">
        <is>
          <t>English Devolution and Community Empowerment Bill: Impact assessment</t>
        </is>
      </c>
      <c r="C93" s="46" t="inlineStr">
        <is>
          <t>GOV.UK</t>
        </is>
      </c>
      <c r="D93" s="46" t="inlineStr">
        <is>
          <t>Guidance</t>
        </is>
      </c>
      <c r="E93" s="45" t="inlineStr">
        <is>
          <t>2025-11-27</t>
        </is>
      </c>
      <c r="F93" s="45" t="inlineStr">
        <is>
          <t>Unclear</t>
        </is>
      </c>
      <c r="G93" s="46" t="inlineStr">
        <is>
          <t>Transition</t>
        </is>
      </c>
      <c r="H93" s="46" t="inlineStr">
        <is>
          <t>LGR Transition</t>
        </is>
      </c>
      <c r="I93" s="46" t="inlineStr">
        <is>
          <t>https://www.gov.uk/government/publications/english-devolution-and-community-empowerment-bill-impact-assessment</t>
        </is>
      </c>
      <c r="J93" s="45" t="n"/>
      <c r="K93" s="46" t="n"/>
      <c r="L93" s="46" t="inlineStr">
        <is>
          <t>7ddcd6a35f7ba1fd60d15bc1559ca384</t>
        </is>
      </c>
      <c r="M93" s="46" t="n"/>
    </row>
    <row r="94" ht="40" customHeight="1" s="28">
      <c r="A94" s="43" t="inlineStr">
        <is>
          <t>2026-08-04</t>
        </is>
      </c>
      <c r="B94" s="44" t="inlineStr">
        <is>
          <t>New amendments will create safer streets, champion culture, and strengthen local accountability under the English Devolution Bill</t>
        </is>
      </c>
      <c r="C94" s="44" t="inlineStr">
        <is>
          <t>GOV.UK</t>
        </is>
      </c>
      <c r="D94" s="44" t="inlineStr">
        <is>
          <t>News</t>
        </is>
      </c>
      <c r="E94" s="43" t="inlineStr">
        <is>
          <t>2026-03-18</t>
        </is>
      </c>
      <c r="F94" s="43" t="inlineStr">
        <is>
          <t>Unclear</t>
        </is>
      </c>
      <c r="G94" s="44" t="inlineStr">
        <is>
          <t>Transition</t>
        </is>
      </c>
      <c r="H94" s="44" t="inlineStr">
        <is>
          <t>LGR Transition</t>
        </is>
      </c>
      <c r="I94" s="44" t="inlineStr">
        <is>
          <t>https://www.gov.uk/government/news/new-amendments-will-create-safer-streets-champion-culture-and-strengthen-local-accountability-under-the-english-devolution-bill</t>
        </is>
      </c>
      <c r="J94" s="43" t="n"/>
      <c r="K94" s="44" t="n"/>
      <c r="L94" s="44" t="inlineStr">
        <is>
          <t>03de3cfd30b036e09728af42e9f02957</t>
        </is>
      </c>
      <c r="M94" s="44" t="n"/>
    </row>
    <row r="95" ht="40" customHeight="1" s="28">
      <c r="A95" s="45" t="inlineStr">
        <is>
          <t>2026-08-04</t>
        </is>
      </c>
      <c r="B95" s="46" t="inlineStr">
        <is>
          <t>English Devolution Bill receives Royal Assent</t>
        </is>
      </c>
      <c r="C95" s="46" t="inlineStr">
        <is>
          <t>GOV.UK</t>
        </is>
      </c>
      <c r="D95" s="46" t="inlineStr">
        <is>
          <t>News</t>
        </is>
      </c>
      <c r="E95" s="45" t="inlineStr">
        <is>
          <t>2026-04-29</t>
        </is>
      </c>
      <c r="F95" s="45" t="inlineStr">
        <is>
          <t>Unclear</t>
        </is>
      </c>
      <c r="G95" s="46" t="inlineStr">
        <is>
          <t>Transition</t>
        </is>
      </c>
      <c r="H95" s="46" t="inlineStr">
        <is>
          <t>LGR Transition</t>
        </is>
      </c>
      <c r="I95" s="46" t="inlineStr">
        <is>
          <t>https://www.gov.uk/government/news/english-devolution-bill-receives-royal-assent</t>
        </is>
      </c>
      <c r="J95" s="45" t="n"/>
      <c r="K95" s="46" t="n"/>
      <c r="L95" s="46" t="inlineStr">
        <is>
          <t>bc86516e9db09c52b0b5676c897fe904</t>
        </is>
      </c>
      <c r="M95" s="46" t="n"/>
    </row>
    <row r="96" ht="40" customHeight="1" s="28">
      <c r="A96" s="43" t="inlineStr">
        <is>
          <t>2026-08-04</t>
        </is>
      </c>
      <c r="B96" s="44" t="inlineStr">
        <is>
          <t>Landmark Devolution Bill brings new dawn of regional power</t>
        </is>
      </c>
      <c r="C96" s="44" t="inlineStr">
        <is>
          <t>GOV.UK</t>
        </is>
      </c>
      <c r="D96" s="44" t="inlineStr">
        <is>
          <t>News</t>
        </is>
      </c>
      <c r="E96" s="43" t="inlineStr">
        <is>
          <t>2025-07-10</t>
        </is>
      </c>
      <c r="F96" s="43" t="inlineStr">
        <is>
          <t>Unclear</t>
        </is>
      </c>
      <c r="G96" s="44" t="inlineStr">
        <is>
          <t>Transition</t>
        </is>
      </c>
      <c r="H96" s="44" t="inlineStr">
        <is>
          <t>LGR Transition</t>
        </is>
      </c>
      <c r="I96" s="44" t="inlineStr">
        <is>
          <t>https://www.gov.uk/government/news/landmark-devolution-bill-brings-new-dawn-of-regional-power</t>
        </is>
      </c>
      <c r="J96" s="43" t="n"/>
      <c r="K96" s="44" t="n"/>
      <c r="L96" s="44" t="inlineStr">
        <is>
          <t>4bd0a75b22b3e24b04e0d8830c6ce8d5</t>
        </is>
      </c>
      <c r="M96" s="44" t="n"/>
    </row>
    <row r="97" ht="40" customHeight="1" s="28">
      <c r="A97" s="45" t="inlineStr">
        <is>
          <t>2026-08-04</t>
        </is>
      </c>
      <c r="B97" s="46" t="inlineStr">
        <is>
          <t>English rail devolution applications</t>
        </is>
      </c>
      <c r="C97" s="46" t="inlineStr">
        <is>
          <t>GOV.UK</t>
        </is>
      </c>
      <c r="D97" s="46" t="inlineStr">
        <is>
          <t>Guidance</t>
        </is>
      </c>
      <c r="E97" s="45" t="inlineStr">
        <is>
          <t>2025-12-12</t>
        </is>
      </c>
      <c r="F97" s="45" t="inlineStr">
        <is>
          <t>Unclear</t>
        </is>
      </c>
      <c r="G97" s="46" t="inlineStr">
        <is>
          <t>Transition</t>
        </is>
      </c>
      <c r="H97" s="46" t="inlineStr">
        <is>
          <t>LGR Transition</t>
        </is>
      </c>
      <c r="I97" s="46" t="inlineStr">
        <is>
          <t>https://www.gov.uk/government/publications/english-rail-devolution-applications</t>
        </is>
      </c>
      <c r="J97" s="45" t="n"/>
      <c r="K97" s="46" t="n"/>
      <c r="L97" s="46" t="inlineStr">
        <is>
          <t>adfe9c8ae92657439a711caee71b503b</t>
        </is>
      </c>
      <c r="M97" s="46" t="n"/>
    </row>
    <row r="98" ht="40" customHeight="1" s="28">
      <c r="A98" s="43" t="inlineStr">
        <is>
          <t>2026-08-04</t>
        </is>
      </c>
      <c r="B98" s="44" t="inlineStr">
        <is>
          <t>​English devolution: Area factsheets</t>
        </is>
      </c>
      <c r="C98" s="44" t="inlineStr">
        <is>
          <t>GOV.UK</t>
        </is>
      </c>
      <c r="D98" s="44" t="inlineStr">
        <is>
          <t>Guidance</t>
        </is>
      </c>
      <c r="E98" s="43" t="inlineStr">
        <is>
          <t>2025-07-09</t>
        </is>
      </c>
      <c r="F98" s="43" t="inlineStr">
        <is>
          <t>Unclear</t>
        </is>
      </c>
      <c r="G98" s="44" t="inlineStr">
        <is>
          <t>Transition</t>
        </is>
      </c>
      <c r="H98" s="44" t="inlineStr">
        <is>
          <t>LGR Transition</t>
        </is>
      </c>
      <c r="I98" s="44" t="inlineStr">
        <is>
          <t>https://www.gov.uk/government/publications/english-devolution-area-factsheets</t>
        </is>
      </c>
      <c r="J98" s="43" t="n"/>
      <c r="K98" s="44" t="n"/>
      <c r="L98" s="44" t="inlineStr">
        <is>
          <t>16b529eb2c68fac4023c1c5b7547eac5</t>
        </is>
      </c>
      <c r="M98" s="44" t="n"/>
    </row>
    <row r="99" ht="40" customHeight="1" s="28">
      <c r="A99" s="45" t="inlineStr">
        <is>
          <t>2026-08-04</t>
        </is>
      </c>
      <c r="B99" s="46" t="inlineStr">
        <is>
          <t>Devolution: Guidance for civil servants</t>
        </is>
      </c>
      <c r="C99" s="46" t="inlineStr">
        <is>
          <t>GOV.UK</t>
        </is>
      </c>
      <c r="D99" s="46" t="inlineStr">
        <is>
          <t>Guidance</t>
        </is>
      </c>
      <c r="E99" s="45" t="inlineStr">
        <is>
          <t>2025-11-28</t>
        </is>
      </c>
      <c r="F99" s="45" t="inlineStr">
        <is>
          <t>Unclear</t>
        </is>
      </c>
      <c r="G99" s="46" t="inlineStr">
        <is>
          <t>Transition</t>
        </is>
      </c>
      <c r="H99" s="46" t="inlineStr">
        <is>
          <t>LGR Transition</t>
        </is>
      </c>
      <c r="I99" s="46" t="inlineStr">
        <is>
          <t>https://www.gov.uk/government/publications/devolution-guidance-for-civil-servants</t>
        </is>
      </c>
      <c r="J99" s="45" t="n"/>
      <c r="K99" s="46" t="n"/>
      <c r="L99" s="46" t="inlineStr">
        <is>
          <t>69e94c82bb7262492b1166974bc53853</t>
        </is>
      </c>
      <c r="M99" s="46" t="n"/>
    </row>
    <row r="100" ht="40" customHeight="1" s="28">
      <c r="A100" s="43" t="inlineStr">
        <is>
          <t>2026-08-04</t>
        </is>
      </c>
      <c r="B100" s="44" t="inlineStr">
        <is>
          <t>Appointing mayoral commissioners and setting/reporting allowances</t>
        </is>
      </c>
      <c r="C100" s="44" t="inlineStr">
        <is>
          <t>GOV.UK</t>
        </is>
      </c>
      <c r="D100" s="44" t="inlineStr">
        <is>
          <t>Guidance</t>
        </is>
      </c>
      <c r="E100" s="43" t="inlineStr">
        <is>
          <t>2026-08-03</t>
        </is>
      </c>
      <c r="F100" s="43" t="inlineStr">
        <is>
          <t>Unclear</t>
        </is>
      </c>
      <c r="G100" s="44" t="inlineStr">
        <is>
          <t>Intervention</t>
        </is>
      </c>
      <c r="H100" s="44" t="inlineStr">
        <is>
          <t>Governance and Transparency</t>
        </is>
      </c>
      <c r="I100" s="44" t="inlineStr">
        <is>
          <t>https://www.gov.uk/government/publications/appointing-mayoral-commissioners-and-settingreporting-allowances</t>
        </is>
      </c>
      <c r="J100" s="43" t="n"/>
      <c r="K100" s="44" t="n"/>
      <c r="L100" s="44" t="inlineStr">
        <is>
          <t>462ff4607cc2059382b67b8966f250e0</t>
        </is>
      </c>
      <c r="M100" s="44" t="n"/>
    </row>
    <row r="101" ht="40" customHeight="1" s="28">
      <c r="A101" s="45" t="inlineStr">
        <is>
          <t>2026-08-04</t>
        </is>
      </c>
      <c r="B101" s="46" t="inlineStr">
        <is>
          <t>Full steam ahead for Devolution Priority Programme</t>
        </is>
      </c>
      <c r="C101" s="46" t="inlineStr">
        <is>
          <t>GOV.UK</t>
        </is>
      </c>
      <c r="D101" s="46" t="inlineStr">
        <is>
          <t>News</t>
        </is>
      </c>
      <c r="E101" s="45" t="inlineStr">
        <is>
          <t>2025-07-17</t>
        </is>
      </c>
      <c r="F101" s="45" t="inlineStr">
        <is>
          <t>Unclear</t>
        </is>
      </c>
      <c r="G101" s="46" t="inlineStr">
        <is>
          <t>Transition</t>
        </is>
      </c>
      <c r="H101" s="46" t="inlineStr">
        <is>
          <t>LGR Transition</t>
        </is>
      </c>
      <c r="I101" s="46" t="inlineStr">
        <is>
          <t>https://www.gov.uk/government/news/full-steam-ahead-for-devolution-priority-programme</t>
        </is>
      </c>
      <c r="J101" s="45" t="n"/>
      <c r="K101" s="46" t="n"/>
      <c r="L101" s="46" t="inlineStr">
        <is>
          <t>d2bba07fd13bb80ffda441e2579bb23b</t>
        </is>
      </c>
      <c r="M101" s="46" t="n"/>
    </row>
    <row r="102" ht="40" customHeight="1" s="28">
      <c r="A102" s="43" t="inlineStr">
        <is>
          <t>2026-08-04</t>
        </is>
      </c>
      <c r="B102" s="44" t="inlineStr">
        <is>
          <t>Devolution Priority Programme consultations launch</t>
        </is>
      </c>
      <c r="C102" s="44" t="inlineStr">
        <is>
          <t>GOV.UK</t>
        </is>
      </c>
      <c r="D102" s="44" t="inlineStr">
        <is>
          <t>News</t>
        </is>
      </c>
      <c r="E102" s="43" t="inlineStr">
        <is>
          <t>2025-02-17</t>
        </is>
      </c>
      <c r="F102" s="43" t="inlineStr">
        <is>
          <t>Unclear</t>
        </is>
      </c>
      <c r="G102" s="44" t="inlineStr">
        <is>
          <t>Transition</t>
        </is>
      </c>
      <c r="H102" s="44" t="inlineStr">
        <is>
          <t>LGR Transition</t>
        </is>
      </c>
      <c r="I102" s="44" t="inlineStr">
        <is>
          <t>https://www.gov.uk/government/news/devolution-priority-programme-consultations-launch</t>
        </is>
      </c>
      <c r="J102" s="43" t="n"/>
      <c r="K102" s="44" t="n"/>
      <c r="L102" s="44" t="inlineStr">
        <is>
          <t>81aa312e4e639dc7a344ac5b7fecbb64</t>
        </is>
      </c>
      <c r="M102" s="44" t="n"/>
    </row>
    <row r="103" ht="40" customHeight="1" s="28">
      <c r="A103" s="45" t="inlineStr">
        <is>
          <t>2026-08-04</t>
        </is>
      </c>
      <c r="B103" s="46" t="inlineStr">
        <is>
          <t>‘Devolution Revolution’ forges ahead with more powers for Mayors</t>
        </is>
      </c>
      <c r="C103" s="46" t="inlineStr">
        <is>
          <t>GOV.UK</t>
        </is>
      </c>
      <c r="D103" s="46" t="inlineStr">
        <is>
          <t>News</t>
        </is>
      </c>
      <c r="E103" s="45" t="inlineStr">
        <is>
          <t>2024-12-16</t>
        </is>
      </c>
      <c r="F103" s="45" t="inlineStr">
        <is>
          <t>Unclear</t>
        </is>
      </c>
      <c r="G103" s="46" t="inlineStr">
        <is>
          <t>Transition</t>
        </is>
      </c>
      <c r="H103" s="46" t="inlineStr">
        <is>
          <t>LGR Transition</t>
        </is>
      </c>
      <c r="I103" s="46" t="inlineStr">
        <is>
          <t>https://www.gov.uk/government/news/devolution-revolution-forges-ahead-with-more-powers-for-mayors</t>
        </is>
      </c>
      <c r="J103" s="45" t="n"/>
      <c r="K103" s="46" t="n"/>
      <c r="L103" s="46" t="inlineStr">
        <is>
          <t>6aac9e382f8aae640e01a2fef0ca16b1</t>
        </is>
      </c>
      <c r="M103" s="46" t="n"/>
    </row>
    <row r="104" ht="40" customHeight="1" s="28">
      <c r="A104" s="43" t="inlineStr">
        <is>
          <t>2026-08-04</t>
        </is>
      </c>
      <c r="B104" s="44" t="inlineStr">
        <is>
          <t>Devolution revolution: six areas to elect Mayors for first time</t>
        </is>
      </c>
      <c r="C104" s="44" t="inlineStr">
        <is>
          <t>GOV.UK</t>
        </is>
      </c>
      <c r="D104" s="44" t="inlineStr">
        <is>
          <t>News</t>
        </is>
      </c>
      <c r="E104" s="43" t="inlineStr">
        <is>
          <t>2025-02-05</t>
        </is>
      </c>
      <c r="F104" s="43" t="inlineStr">
        <is>
          <t>Unclear</t>
        </is>
      </c>
      <c r="G104" s="44" t="inlineStr">
        <is>
          <t>Transition</t>
        </is>
      </c>
      <c r="H104" s="44" t="inlineStr">
        <is>
          <t>LGR Transition</t>
        </is>
      </c>
      <c r="I104" s="44" t="inlineStr">
        <is>
          <t>https://www.gov.uk/government/news/devolution-revolution-six-areas-to-elect-mayors-for-first-time</t>
        </is>
      </c>
      <c r="J104" s="43" t="n"/>
      <c r="K104" s="44" t="n"/>
      <c r="L104" s="44" t="inlineStr">
        <is>
          <t>fc79533439b43245580512fdeecdf54d</t>
        </is>
      </c>
      <c r="M104" s="44" t="n"/>
    </row>
    <row r="105" ht="40" customHeight="1" s="28">
      <c r="A105" s="45" t="inlineStr">
        <is>
          <t>2026-08-04</t>
        </is>
      </c>
      <c r="B105" s="46" t="inlineStr">
        <is>
          <t>Full devolution to be delivered across the North</t>
        </is>
      </c>
      <c r="C105" s="46" t="inlineStr">
        <is>
          <t>GOV.UK</t>
        </is>
      </c>
      <c r="D105" s="46" t="inlineStr">
        <is>
          <t>News</t>
        </is>
      </c>
      <c r="E105" s="45" t="inlineStr">
        <is>
          <t>2024-09-22</t>
        </is>
      </c>
      <c r="F105" s="45" t="inlineStr">
        <is>
          <t>Unclear</t>
        </is>
      </c>
      <c r="G105" s="46" t="inlineStr">
        <is>
          <t>Transition</t>
        </is>
      </c>
      <c r="H105" s="46" t="inlineStr">
        <is>
          <t>LGR Transition</t>
        </is>
      </c>
      <c r="I105" s="46" t="inlineStr">
        <is>
          <t>https://www.gov.uk/government/news/full-devolution-to-be-delivered-across-the-north</t>
        </is>
      </c>
      <c r="J105" s="45" t="n"/>
      <c r="K105" s="46" t="n"/>
      <c r="L105" s="46" t="inlineStr">
        <is>
          <t>9c090cea0b763c8187f29d902554003d</t>
        </is>
      </c>
      <c r="M105" s="46" t="n"/>
    </row>
    <row r="106" ht="40" customHeight="1" s="28">
      <c r="A106" s="43" t="inlineStr">
        <is>
          <t>2026-08-04</t>
        </is>
      </c>
      <c r="B106" s="44" t="inlineStr">
        <is>
          <t>Four devolution agreements signed off and others progressing</t>
        </is>
      </c>
      <c r="C106" s="44" t="inlineStr">
        <is>
          <t>GOV.UK</t>
        </is>
      </c>
      <c r="D106" s="44" t="inlineStr">
        <is>
          <t>News</t>
        </is>
      </c>
      <c r="E106" s="43" t="inlineStr">
        <is>
          <t>2024-09-21</t>
        </is>
      </c>
      <c r="F106" s="43" t="inlineStr">
        <is>
          <t>Unclear</t>
        </is>
      </c>
      <c r="G106" s="44" t="inlineStr">
        <is>
          <t>Transition</t>
        </is>
      </c>
      <c r="H106" s="44" t="inlineStr">
        <is>
          <t>LGR Transition</t>
        </is>
      </c>
      <c r="I106" s="44" t="inlineStr">
        <is>
          <t>https://www.gov.uk/government/news/four-devolution-agreements-signed-off-and-others-progressing</t>
        </is>
      </c>
      <c r="J106" s="43" t="n"/>
      <c r="K106" s="44" t="n"/>
      <c r="L106" s="44" t="inlineStr">
        <is>
          <t>4b07c22dbedae948182a25e6c39ae3a2</t>
        </is>
      </c>
      <c r="M106" s="44" t="n"/>
    </row>
    <row r="107" ht="40" customHeight="1" s="28">
      <c r="A107" s="45" t="inlineStr">
        <is>
          <t>2026-08-04</t>
        </is>
      </c>
      <c r="B107" s="46" t="inlineStr">
        <is>
          <t>​​Annual report on English devolution 2024 to 2025​</t>
        </is>
      </c>
      <c r="C107" s="46" t="inlineStr">
        <is>
          <t>GOV.UK</t>
        </is>
      </c>
      <c r="D107" s="46" t="inlineStr">
        <is>
          <t>Guidance</t>
        </is>
      </c>
      <c r="E107" s="45" t="inlineStr">
        <is>
          <t>2025-10-13</t>
        </is>
      </c>
      <c r="F107" s="45" t="inlineStr">
        <is>
          <t>Unclear</t>
        </is>
      </c>
      <c r="G107" s="46" t="inlineStr">
        <is>
          <t>Transition</t>
        </is>
      </c>
      <c r="H107" s="46" t="inlineStr">
        <is>
          <t>LGR Transition</t>
        </is>
      </c>
      <c r="I107" s="46" t="inlineStr">
        <is>
          <t>https://www.gov.uk/government/publications/annual-report-on-english-devolution-2024-to-2025</t>
        </is>
      </c>
      <c r="J107" s="45" t="n"/>
      <c r="K107" s="46" t="n"/>
      <c r="L107" s="46" t="inlineStr">
        <is>
          <t>48b876d55dc1cc92a82ce0497a683f12</t>
        </is>
      </c>
      <c r="M107" s="46" t="n"/>
    </row>
    <row r="108" ht="40" customHeight="1" s="28">
      <c r="A108" s="43" t="inlineStr">
        <is>
          <t>2026-08-04</t>
        </is>
      </c>
      <c r="B108" s="44" t="inlineStr">
        <is>
          <t>Exceptional Financial Support for local authorities</t>
        </is>
      </c>
      <c r="C108" s="44" t="inlineStr">
        <is>
          <t>GOV.UK</t>
        </is>
      </c>
      <c r="D108" s="44" t="inlineStr">
        <is>
          <t>Guidance</t>
        </is>
      </c>
      <c r="E108" s="43" t="inlineStr">
        <is>
          <t>2026-02-23</t>
        </is>
      </c>
      <c r="F108" s="43" t="inlineStr">
        <is>
          <t>Unclear</t>
        </is>
      </c>
      <c r="G108" s="44" t="inlineStr">
        <is>
          <t>Intervention</t>
        </is>
      </c>
      <c r="H108" s="44" t="inlineStr">
        <is>
          <t>Other</t>
        </is>
      </c>
      <c r="I108" s="44" t="inlineStr">
        <is>
          <t>https://www.gov.uk/government/collections/exceptional-financial-support-for-local-authorities</t>
        </is>
      </c>
      <c r="J108" s="43" t="n"/>
      <c r="K108" s="44" t="n"/>
      <c r="L108" s="44" t="inlineStr">
        <is>
          <t>0fb85b6aaedbac622cb7e7248876dc95</t>
        </is>
      </c>
      <c r="M108" s="44" t="n"/>
    </row>
    <row r="109" ht="40" customHeight="1" s="28">
      <c r="A109" s="45" t="inlineStr">
        <is>
          <t>2026-08-04</t>
        </is>
      </c>
      <c r="B109" s="46" t="inlineStr">
        <is>
          <t>Exceptional Financial Support for local authorities for 2026-27</t>
        </is>
      </c>
      <c r="C109" s="46" t="inlineStr">
        <is>
          <t>GOV.UK</t>
        </is>
      </c>
      <c r="D109" s="46" t="inlineStr">
        <is>
          <t>Guidance</t>
        </is>
      </c>
      <c r="E109" s="45" t="inlineStr">
        <is>
          <t>2026-07-30</t>
        </is>
      </c>
      <c r="F109" s="45" t="inlineStr">
        <is>
          <t>Unclear</t>
        </is>
      </c>
      <c r="G109" s="46" t="inlineStr">
        <is>
          <t>Intervention</t>
        </is>
      </c>
      <c r="H109" s="46" t="inlineStr">
        <is>
          <t>Other</t>
        </is>
      </c>
      <c r="I109" s="46" t="inlineStr">
        <is>
          <t>https://www.gov.uk/guidance/exceptional-financial-support-for-local-authorities-for-2026-27</t>
        </is>
      </c>
      <c r="J109" s="45" t="n"/>
      <c r="K109" s="46" t="n"/>
      <c r="L109" s="46" t="inlineStr">
        <is>
          <t>9d3c8b97e605b22160e529e68d610a2e</t>
        </is>
      </c>
      <c r="M109" s="46" t="n"/>
    </row>
    <row r="110" ht="40" customHeight="1" s="28">
      <c r="A110" s="43" t="inlineStr">
        <is>
          <t>2026-08-04</t>
        </is>
      </c>
      <c r="B110" s="44" t="inlineStr">
        <is>
          <t>Exceptional Financial Support for local authorities for 2025-26</t>
        </is>
      </c>
      <c r="C110" s="44" t="inlineStr">
        <is>
          <t>GOV.UK</t>
        </is>
      </c>
      <c r="D110" s="44" t="inlineStr">
        <is>
          <t>Guidance</t>
        </is>
      </c>
      <c r="E110" s="43" t="inlineStr">
        <is>
          <t>2026-02-23</t>
        </is>
      </c>
      <c r="F110" s="43" t="inlineStr">
        <is>
          <t>Unclear</t>
        </is>
      </c>
      <c r="G110" s="44" t="inlineStr">
        <is>
          <t>Intervention</t>
        </is>
      </c>
      <c r="H110" s="44" t="inlineStr">
        <is>
          <t>Other</t>
        </is>
      </c>
      <c r="I110" s="44" t="inlineStr">
        <is>
          <t>https://www.gov.uk/guidance/exceptional-financial-support-for-local-authorities-for-2025-26</t>
        </is>
      </c>
      <c r="J110" s="43" t="n"/>
      <c r="K110" s="44" t="n"/>
      <c r="L110" s="44" t="inlineStr">
        <is>
          <t>5a9ce004d66d138fa56363fa6200228d</t>
        </is>
      </c>
      <c r="M110" s="44" t="n"/>
    </row>
    <row r="111" ht="40" customHeight="1" s="28">
      <c r="A111" s="45" t="inlineStr">
        <is>
          <t>2026-08-04</t>
        </is>
      </c>
      <c r="B111" s="46" t="inlineStr">
        <is>
          <t>Exceptional Financial Support for local authorities for 2024-25</t>
        </is>
      </c>
      <c r="C111" s="46" t="inlineStr">
        <is>
          <t>GOV.UK</t>
        </is>
      </c>
      <c r="D111" s="46" t="inlineStr">
        <is>
          <t>Guidance</t>
        </is>
      </c>
      <c r="E111" s="45" t="inlineStr">
        <is>
          <t>2026-03-05</t>
        </is>
      </c>
      <c r="F111" s="45" t="inlineStr">
        <is>
          <t>Unclear</t>
        </is>
      </c>
      <c r="G111" s="46" t="inlineStr">
        <is>
          <t>Intervention</t>
        </is>
      </c>
      <c r="H111" s="46" t="inlineStr">
        <is>
          <t>Internal Controls</t>
        </is>
      </c>
      <c r="I111" s="46" t="inlineStr">
        <is>
          <t>https://www.gov.uk/guidance/exceptional-financial-support-for-local-authorities-for-2024-25</t>
        </is>
      </c>
      <c r="J111" s="45" t="n"/>
      <c r="K111" s="46" t="n"/>
      <c r="L111" s="46" t="inlineStr">
        <is>
          <t>ae9e7b85111f3e9a3cc74d08a316b0b0</t>
        </is>
      </c>
      <c r="M111" s="46" t="n"/>
    </row>
    <row r="112" ht="40" customHeight="1" s="28">
      <c r="A112" s="43" t="inlineStr">
        <is>
          <t>2026-08-04</t>
        </is>
      </c>
      <c r="B112" s="44" t="inlineStr">
        <is>
          <t>Exceptional Financial Support for local authorities for 2021-22</t>
        </is>
      </c>
      <c r="C112" s="44" t="inlineStr">
        <is>
          <t>GOV.UK</t>
        </is>
      </c>
      <c r="D112" s="44" t="inlineStr">
        <is>
          <t>Guidance</t>
        </is>
      </c>
      <c r="E112" s="43" t="inlineStr">
        <is>
          <t>2025-03-13</t>
        </is>
      </c>
      <c r="F112" s="43" t="inlineStr">
        <is>
          <t>Unclear</t>
        </is>
      </c>
      <c r="G112" s="44" t="inlineStr">
        <is>
          <t>Intervention</t>
        </is>
      </c>
      <c r="H112" s="44" t="inlineStr">
        <is>
          <t>Internal Controls</t>
        </is>
      </c>
      <c r="I112" s="44" t="inlineStr">
        <is>
          <t>https://www.gov.uk/guidance/exceptional-financial-support-for-local-authorities-for-2021-22</t>
        </is>
      </c>
      <c r="J112" s="43" t="n"/>
      <c r="K112" s="44" t="n"/>
      <c r="L112" s="44" t="inlineStr">
        <is>
          <t>d9f3286330b2e72aabcd30a7647f8676</t>
        </is>
      </c>
      <c r="M112" s="44" t="n"/>
    </row>
    <row r="113" ht="40" customHeight="1" s="28">
      <c r="A113" s="45" t="inlineStr">
        <is>
          <t>2026-08-04</t>
        </is>
      </c>
      <c r="B113" s="46" t="inlineStr">
        <is>
          <t>Exceptional Financial Support for local authorities for 2023-24</t>
        </is>
      </c>
      <c r="C113" s="46" t="inlineStr">
        <is>
          <t>GOV.UK</t>
        </is>
      </c>
      <c r="D113" s="46" t="inlineStr">
        <is>
          <t>Guidance</t>
        </is>
      </c>
      <c r="E113" s="45" t="inlineStr">
        <is>
          <t>2026-03-05</t>
        </is>
      </c>
      <c r="F113" s="45" t="inlineStr">
        <is>
          <t>Unclear</t>
        </is>
      </c>
      <c r="G113" s="46" t="inlineStr">
        <is>
          <t>Intervention</t>
        </is>
      </c>
      <c r="H113" s="46" t="inlineStr">
        <is>
          <t>Internal Controls</t>
        </is>
      </c>
      <c r="I113" s="46" t="inlineStr">
        <is>
          <t>https://www.gov.uk/guidance/exceptional-financial-support-for-local-authorities-for-2023-24</t>
        </is>
      </c>
      <c r="J113" s="45" t="n"/>
      <c r="K113" s="46" t="n"/>
      <c r="L113" s="46" t="inlineStr">
        <is>
          <t>9319ef296a9398e4e0787e6af324183a</t>
        </is>
      </c>
      <c r="M113" s="46" t="n"/>
    </row>
    <row r="114" ht="40" customHeight="1" s="28">
      <c r="A114" s="43" t="inlineStr">
        <is>
          <t>2026-08-04</t>
        </is>
      </c>
      <c r="B114" s="44" t="inlineStr">
        <is>
          <t>Exceptional Financial Support for local authorities for 2022-23</t>
        </is>
      </c>
      <c r="C114" s="44" t="inlineStr">
        <is>
          <t>GOV.UK</t>
        </is>
      </c>
      <c r="D114" s="44" t="inlineStr">
        <is>
          <t>Guidance</t>
        </is>
      </c>
      <c r="E114" s="43" t="inlineStr">
        <is>
          <t>2026-02-23</t>
        </is>
      </c>
      <c r="F114" s="43" t="inlineStr">
        <is>
          <t>Unclear</t>
        </is>
      </c>
      <c r="G114" s="44" t="inlineStr">
        <is>
          <t>Intervention</t>
        </is>
      </c>
      <c r="H114" s="44" t="inlineStr">
        <is>
          <t>Internal Controls</t>
        </is>
      </c>
      <c r="I114" s="44" t="inlineStr">
        <is>
          <t>https://www.gov.uk/guidance/exceptional-financial-support-for-local-authorities-for-2022-23</t>
        </is>
      </c>
      <c r="J114" s="43" t="n"/>
      <c r="K114" s="44" t="n"/>
      <c r="L114" s="44" t="inlineStr">
        <is>
          <t>b0a0c8718216252667569dbcd4c45ed0</t>
        </is>
      </c>
      <c r="M114" s="44" t="n"/>
    </row>
    <row r="115" ht="40" customHeight="1" s="28">
      <c r="A115" s="45" t="inlineStr">
        <is>
          <t>2026-08-04</t>
        </is>
      </c>
      <c r="B115" s="46" t="inlineStr">
        <is>
          <t>Exceptional Financial Support for local authorities for 2020-21</t>
        </is>
      </c>
      <c r="C115" s="46" t="inlineStr">
        <is>
          <t>GOV.UK</t>
        </is>
      </c>
      <c r="D115" s="46" t="inlineStr">
        <is>
          <t>Guidance</t>
        </is>
      </c>
      <c r="E115" s="45" t="inlineStr">
        <is>
          <t>2025-03-13</t>
        </is>
      </c>
      <c r="F115" s="45" t="inlineStr">
        <is>
          <t>Unclear</t>
        </is>
      </c>
      <c r="G115" s="46" t="inlineStr">
        <is>
          <t>Intervention</t>
        </is>
      </c>
      <c r="H115" s="46" t="inlineStr">
        <is>
          <t>Internal Controls</t>
        </is>
      </c>
      <c r="I115" s="46" t="inlineStr">
        <is>
          <t>https://www.gov.uk/guidance/exceptional-financial-support-for-local-authorities-for-2020-21</t>
        </is>
      </c>
      <c r="J115" s="45" t="n"/>
      <c r="K115" s="46" t="n"/>
      <c r="L115" s="46" t="inlineStr">
        <is>
          <t>7ce4a135ce589d9207596d3f670faa03</t>
        </is>
      </c>
      <c r="M115" s="46" t="n"/>
    </row>
    <row r="116" ht="40" customHeight="1" s="28">
      <c r="A116" s="43" t="inlineStr">
        <is>
          <t>2026-08-04</t>
        </is>
      </c>
      <c r="B116" s="44" t="inlineStr">
        <is>
          <t>Nottingham City Council: Ministerial Envoy appointment letter (24 March 2026)</t>
        </is>
      </c>
      <c r="C116" s="44" t="inlineStr">
        <is>
          <t>GOV.UK</t>
        </is>
      </c>
      <c r="D116" s="44" t="inlineStr">
        <is>
          <t>Correspondence</t>
        </is>
      </c>
      <c r="E116" s="43" t="inlineStr">
        <is>
          <t>2026-03-24</t>
        </is>
      </c>
      <c r="F116" s="43" t="inlineStr">
        <is>
          <t>Yes</t>
        </is>
      </c>
      <c r="G116" s="44" t="inlineStr">
        <is>
          <t>Local, Intervention</t>
        </is>
      </c>
      <c r="H116" s="44" t="inlineStr">
        <is>
          <t>Governance and Transparency</t>
        </is>
      </c>
      <c r="I116" s="44" t="inlineStr">
        <is>
          <t>https://www.gov.uk/government/publications/nottingham-city-council-ministerial-envoy-appointment-letter</t>
        </is>
      </c>
      <c r="J116" s="43" t="n"/>
      <c r="K116" s="44" t="n"/>
      <c r="L116" s="44" t="inlineStr">
        <is>
          <t>9dba86372ea855b346eee5e8dab59210</t>
        </is>
      </c>
      <c r="M116" s="44" t="n"/>
    </row>
    <row r="117" ht="40" customHeight="1" s="28">
      <c r="A117" s="45" t="inlineStr">
        <is>
          <t>2026-08-04</t>
        </is>
      </c>
      <c r="B117" s="46" t="inlineStr">
        <is>
          <t>Nottingham City Council: Ministerial Envoy appointment letter (15 July 2026)</t>
        </is>
      </c>
      <c r="C117" s="46" t="inlineStr">
        <is>
          <t>GOV.UK</t>
        </is>
      </c>
      <c r="D117" s="46" t="inlineStr">
        <is>
          <t>Correspondence</t>
        </is>
      </c>
      <c r="E117" s="45" t="inlineStr">
        <is>
          <t>2026-07-15</t>
        </is>
      </c>
      <c r="F117" s="45" t="inlineStr">
        <is>
          <t>Yes</t>
        </is>
      </c>
      <c r="G117" s="46" t="inlineStr">
        <is>
          <t>Local, Intervention</t>
        </is>
      </c>
      <c r="H117" s="46" t="inlineStr">
        <is>
          <t>Governance and Transparency</t>
        </is>
      </c>
      <c r="I117" s="46" t="inlineStr">
        <is>
          <t>https://www.gov.uk/government/publications/nottingham-city-council-ministerial-envoy-appointment-letter-15-july-2026</t>
        </is>
      </c>
      <c r="J117" s="45" t="n"/>
      <c r="K117" s="46" t="n"/>
      <c r="L117" s="46" t="inlineStr">
        <is>
          <t>62576f7ad2e8cd21beb061a27f1c57ac</t>
        </is>
      </c>
      <c r="M117" s="46" t="n"/>
    </row>
    <row r="118" ht="40" customHeight="1" s="28">
      <c r="A118" s="43" t="inlineStr">
        <is>
          <t>2026-08-04</t>
        </is>
      </c>
      <c r="B118" s="44" t="inlineStr">
        <is>
          <t>Nottingham City Council: Letter to Council Leader (15 July 2026)</t>
        </is>
      </c>
      <c r="C118" s="44" t="inlineStr">
        <is>
          <t>GOV.UK</t>
        </is>
      </c>
      <c r="D118" s="44" t="inlineStr">
        <is>
          <t>Guidance</t>
        </is>
      </c>
      <c r="E118" s="43" t="inlineStr">
        <is>
          <t>2026-07-15</t>
        </is>
      </c>
      <c r="F118" s="43" t="inlineStr">
        <is>
          <t>Unclear</t>
        </is>
      </c>
      <c r="G118" s="44" t="inlineStr">
        <is>
          <t>Local</t>
        </is>
      </c>
      <c r="H118" s="44" t="inlineStr">
        <is>
          <t>Other</t>
        </is>
      </c>
      <c r="I118" s="44" t="inlineStr">
        <is>
          <t>https://www.gov.uk/government/publications/nottingham-city-council-letter-to-council-leader-15-july-2026</t>
        </is>
      </c>
      <c r="J118" s="43" t="n"/>
      <c r="K118" s="44" t="n"/>
      <c r="L118" s="44" t="inlineStr">
        <is>
          <t>4d2789f8d6fb3b189b31ccb5ec755afa</t>
        </is>
      </c>
      <c r="M118" s="44" t="n"/>
    </row>
    <row r="119" ht="40" customHeight="1" s="28">
      <c r="A119" s="45" t="inlineStr">
        <is>
          <t>2026-08-04</t>
        </is>
      </c>
      <c r="B119" s="46" t="inlineStr">
        <is>
          <t>Press release: Bill Butler confirmed as Chair of the Local Audit Office</t>
        </is>
      </c>
      <c r="C119" s="46" t="inlineStr">
        <is>
          <t>PSAA</t>
        </is>
      </c>
      <c r="D119" s="46" t="inlineStr">
        <is>
          <t>PSAA Update</t>
        </is>
      </c>
      <c r="E119" s="45" t="inlineStr">
        <is>
          <t>2026-08-04</t>
        </is>
      </c>
      <c r="F119" s="45" t="inlineStr">
        <is>
          <t>Unclear</t>
        </is>
      </c>
      <c r="G119" s="46" t="inlineStr">
        <is>
          <t>Audit</t>
        </is>
      </c>
      <c r="H119" s="46" t="inlineStr">
        <is>
          <t>Audit Procurement</t>
        </is>
      </c>
      <c r="I119" s="46" t="inlineStr">
        <is>
          <t>https://www.psaa.co.uk/2026/07/press-release-bill-butler-confirmed-as-chair-of-the-local-audit-office/</t>
        </is>
      </c>
      <c r="J119" s="45" t="n"/>
      <c r="K119" s="46" t="n"/>
      <c r="L119" s="46" t="inlineStr">
        <is>
          <t>7b681eccadf0ba6e478b71f22770eaf2</t>
        </is>
      </c>
      <c r="M119" s="46" t="n"/>
    </row>
    <row r="120" ht="40" customHeight="1" s="28">
      <c r="A120" s="43" t="inlineStr">
        <is>
          <t>2026-08-04</t>
        </is>
      </c>
      <c r="B120" s="44" t="inlineStr">
        <is>
          <t>MHCLG seeks Controller of Local Audit</t>
        </is>
      </c>
      <c r="C120" s="44" t="inlineStr">
        <is>
          <t>PSAA</t>
        </is>
      </c>
      <c r="D120" s="44" t="inlineStr">
        <is>
          <t>PSAA Update</t>
        </is>
      </c>
      <c r="E120" s="43" t="inlineStr">
        <is>
          <t>2026-08-04</t>
        </is>
      </c>
      <c r="F120" s="43" t="inlineStr">
        <is>
          <t>Unclear</t>
        </is>
      </c>
      <c r="G120" s="44" t="inlineStr">
        <is>
          <t>Audit</t>
        </is>
      </c>
      <c r="H120" s="44" t="inlineStr">
        <is>
          <t>Other</t>
        </is>
      </c>
      <c r="I120" s="44" t="inlineStr">
        <is>
          <t>https://www.psaa.co.uk/2026/06/mhclg-seeks-controller-of-local-audit/</t>
        </is>
      </c>
      <c r="J120" s="43" t="n"/>
      <c r="K120" s="44" t="n"/>
      <c r="L120" s="44" t="inlineStr">
        <is>
          <t>0461b2bedc620cd6c2181f308b2424d3</t>
        </is>
      </c>
      <c r="M120" s="44" t="n"/>
    </row>
    <row r="121" ht="40" customHeight="1" s="28">
      <c r="A121" s="45" t="inlineStr">
        <is>
          <t>2026-08-04</t>
        </is>
      </c>
      <c r="B121" s="46" t="inlineStr">
        <is>
          <t>East Midlands Combined County Authority granted Established Status by government</t>
        </is>
      </c>
      <c r="C121" s="46" t="inlineStr">
        <is>
          <t>EMCCA</t>
        </is>
      </c>
      <c r="D121" s="46" t="inlineStr">
        <is>
          <t>Guidance</t>
        </is>
      </c>
      <c r="E121" s="45" t="n"/>
      <c r="F121" s="45" t="inlineStr">
        <is>
          <t>Unclear</t>
        </is>
      </c>
      <c r="G121" s="46" t="inlineStr">
        <is>
          <t>Local</t>
        </is>
      </c>
      <c r="H121" s="46" t="inlineStr">
        <is>
          <t>Other</t>
        </is>
      </c>
      <c r="I121" s="46" t="inlineStr">
        <is>
          <t>https://www.eastmidlands-cca.gov.uk/news/established-status-2026/</t>
        </is>
      </c>
      <c r="J121" s="45" t="n"/>
      <c r="K121" s="46" t="n"/>
      <c r="L121" s="46" t="inlineStr">
        <is>
          <t>7659f2966da8a6bdff612209d753fb37</t>
        </is>
      </c>
      <c r="M121" s="46" t="n"/>
    </row>
    <row r="122" ht="40" customHeight="1" s="28">
      <c r="A122" s="43" t="inlineStr">
        <is>
          <t>2026-08-04</t>
        </is>
      </c>
      <c r="B122" s="44" t="inlineStr">
        <is>
          <t>Mayor Claire invests £7 million to deliver neighbourhood improvements across Nottingham</t>
        </is>
      </c>
      <c r="C122" s="44" t="inlineStr">
        <is>
          <t>EMCCA</t>
        </is>
      </c>
      <c r="D122" s="44" t="inlineStr">
        <is>
          <t>Guidance</t>
        </is>
      </c>
      <c r="E122" s="43" t="n"/>
      <c r="F122" s="43" t="inlineStr">
        <is>
          <t>Unclear</t>
        </is>
      </c>
      <c r="G122" s="44" t="inlineStr">
        <is>
          <t>Local</t>
        </is>
      </c>
      <c r="H122" s="44" t="inlineStr">
        <is>
          <t>Other</t>
        </is>
      </c>
      <c r="I122" s="44" t="inlineStr">
        <is>
          <t>https://www.eastmidlands-cca.gov.uk/news/nottingham-neighbourhood-improvements/</t>
        </is>
      </c>
      <c r="J122" s="43" t="n"/>
      <c r="K122" s="44" t="n"/>
      <c r="L122" s="44" t="inlineStr">
        <is>
          <t>1fb78d09dac2bb557eaf2053c6840717</t>
        </is>
      </c>
      <c r="M122" s="44" t="n"/>
    </row>
    <row r="123" ht="40" customHeight="1" s="28">
      <c r="A123" s="45" t="inlineStr">
        <is>
          <t>2026-08-04</t>
        </is>
      </c>
      <c r="B123" s="46" t="inlineStr">
        <is>
          <t>Mayor-backed £12.6m investment helps drive forward A614/A6097 improvements in Nottinghamshire</t>
        </is>
      </c>
      <c r="C123" s="46" t="inlineStr">
        <is>
          <t>EMCCA</t>
        </is>
      </c>
      <c r="D123" s="46" t="inlineStr">
        <is>
          <t>Guidance</t>
        </is>
      </c>
      <c r="E123" s="45" t="n"/>
      <c r="F123" s="45" t="inlineStr">
        <is>
          <t>Unclear</t>
        </is>
      </c>
      <c r="G123" s="46" t="inlineStr">
        <is>
          <t>Local</t>
        </is>
      </c>
      <c r="H123" s="46" t="inlineStr">
        <is>
          <t>Other</t>
        </is>
      </c>
      <c r="I123" s="46" t="inlineStr">
        <is>
          <t>https://www.eastmidlands-cca.gov.uk/news/a614-works-nottinghamshire/</t>
        </is>
      </c>
      <c r="J123" s="45" t="n"/>
      <c r="K123" s="46" t="n"/>
      <c r="L123" s="46" t="inlineStr">
        <is>
          <t>ae9743d4cef5947a9b92231a2aa845e0</t>
        </is>
      </c>
      <c r="M123" s="46" t="n"/>
    </row>
    <row r="124" ht="40" customHeight="1" s="28">
      <c r="A124" s="43" t="inlineStr">
        <is>
          <t>2026-08-04</t>
        </is>
      </c>
      <c r="B124" s="44" t="inlineStr">
        <is>
          <t>Audit Committee — meeting 27 Nov 2026 9.30 am</t>
        </is>
      </c>
      <c r="C124" s="44" t="inlineStr">
        <is>
          <t>NCC Committee</t>
        </is>
      </c>
      <c r="D124" s="44" t="inlineStr">
        <is>
          <t>Committee Paper</t>
        </is>
      </c>
      <c r="E124" s="43" t="inlineStr">
        <is>
          <t>2026-11-27</t>
        </is>
      </c>
      <c r="F124" s="43" t="inlineStr">
        <is>
          <t>Yes</t>
        </is>
      </c>
      <c r="G124" s="44" t="inlineStr">
        <is>
          <t>Local, Audit</t>
        </is>
      </c>
      <c r="H124" s="44" t="inlineStr">
        <is>
          <t>Governance and Transparency</t>
        </is>
      </c>
      <c r="I124" s="44" t="inlineStr">
        <is>
          <t>https://committee.nottinghamcity.gov.uk/ieListDocuments.aspx?CId=145&amp;MId=11777&amp;Ver=4</t>
        </is>
      </c>
      <c r="J124" s="43" t="n"/>
      <c r="K124" s="44" t="n"/>
      <c r="L124" s="44" t="inlineStr">
        <is>
          <t>4e29488c8ccd2d206e77d02118ba9fec</t>
        </is>
      </c>
      <c r="M124" s="44" t="n"/>
    </row>
    <row r="125" ht="40" customHeight="1" s="28">
      <c r="A125" s="45" t="inlineStr">
        <is>
          <t>2026-08-04</t>
        </is>
      </c>
      <c r="B125" s="46" t="inlineStr">
        <is>
          <t>Audit Committee — meeting 25 Sep 2026 9.30 am</t>
        </is>
      </c>
      <c r="C125" s="46" t="inlineStr">
        <is>
          <t>NCC Committee</t>
        </is>
      </c>
      <c r="D125" s="46" t="inlineStr">
        <is>
          <t>Committee Paper</t>
        </is>
      </c>
      <c r="E125" s="45" t="inlineStr">
        <is>
          <t>2026-09-25</t>
        </is>
      </c>
      <c r="F125" s="45" t="inlineStr">
        <is>
          <t>Yes</t>
        </is>
      </c>
      <c r="G125" s="46" t="inlineStr">
        <is>
          <t>Local, Audit</t>
        </is>
      </c>
      <c r="H125" s="46" t="inlineStr">
        <is>
          <t>Governance and Transparency</t>
        </is>
      </c>
      <c r="I125" s="46" t="inlineStr">
        <is>
          <t>https://committee.nottinghamcity.gov.uk/ieListDocuments.aspx?CId=145&amp;MId=11776&amp;Ver=4</t>
        </is>
      </c>
      <c r="J125" s="45" t="n"/>
      <c r="K125" s="46" t="n"/>
      <c r="L125" s="46" t="inlineStr">
        <is>
          <t>f3f3ea6b369cef28e63497e6f1127c32</t>
        </is>
      </c>
      <c r="M125" s="46" t="n"/>
    </row>
    <row r="126" ht="40" customHeight="1" s="28">
      <c r="A126" s="43" t="inlineStr">
        <is>
          <t>2026-08-04</t>
        </is>
      </c>
      <c r="B126" s="44" t="inlineStr">
        <is>
          <t>English Devolution and Community Empowerment Act 2026</t>
        </is>
      </c>
      <c r="C126" s="44" t="inlineStr">
        <is>
          <t>legislation.gov.uk</t>
        </is>
      </c>
      <c r="D126" s="44" t="inlineStr">
        <is>
          <t>Act</t>
        </is>
      </c>
      <c r="E126" s="43" t="inlineStr">
        <is>
          <t>2026-05-11</t>
        </is>
      </c>
      <c r="F126" s="43" t="inlineStr">
        <is>
          <t>Yes</t>
        </is>
      </c>
      <c r="G126" s="44" t="inlineStr">
        <is>
          <t>Audit, Transition</t>
        </is>
      </c>
      <c r="H126" s="44" t="inlineStr">
        <is>
          <t>Governance and Transparency; LGR Transition</t>
        </is>
      </c>
      <c r="I126" s="44" t="inlineStr">
        <is>
          <t>https://www.legislation.gov.uk/id/ukpga/2026/23</t>
        </is>
      </c>
      <c r="J126" s="43" t="n"/>
      <c r="K126" s="44" t="n"/>
      <c r="L126" s="44" t="inlineStr">
        <is>
          <t>f25d6de2a294b13dfbfa8f6c3330fd0e</t>
        </is>
      </c>
      <c r="M126" s="44" t="n"/>
    </row>
    <row r="127" ht="40" customHeight="1" s="28">
      <c r="A127" s="45" t="inlineStr">
        <is>
          <t>2026-08-04</t>
        </is>
      </c>
      <c r="B127" s="46" t="inlineStr">
        <is>
          <t>The English Devolution and Community Empowerment Act 2026 (Commencement No. 2) Regulations 2026</t>
        </is>
      </c>
      <c r="C127" s="46" t="inlineStr">
        <is>
          <t>legislation.gov.uk</t>
        </is>
      </c>
      <c r="D127" s="46" t="inlineStr">
        <is>
          <t>Statutory Instrument</t>
        </is>
      </c>
      <c r="E127" s="45" t="inlineStr">
        <is>
          <t>2026-07-16</t>
        </is>
      </c>
      <c r="F127" s="45" t="inlineStr">
        <is>
          <t>Yes</t>
        </is>
      </c>
      <c r="G127" s="46" t="inlineStr">
        <is>
          <t>Audit, Transition</t>
        </is>
      </c>
      <c r="H127" s="46" t="inlineStr">
        <is>
          <t>Governance and Transparency; LGR Transition</t>
        </is>
      </c>
      <c r="I127" s="46" t="inlineStr">
        <is>
          <t>https://www.legislation.gov.uk/id/uksi/2026/812</t>
        </is>
      </c>
      <c r="J127" s="45" t="inlineStr">
        <is>
          <t>Yes</t>
        </is>
      </c>
      <c r="K127" s="46" t="inlineStr">
        <is>
          <t>Commenced s.94 (audit committees) of the EDCEA 2026 for Category 1 authorities from 15 July 2026, inserting s.33A into the Local Audit and Accountability Act 2014. Notified to S151 Officers by MHCLG letter of 31 July 2026 (not published on GOV.UK). Creates OB-A13; tracked via A-027, A-028 and A-029.</t>
        </is>
      </c>
      <c r="L127" s="46" t="inlineStr">
        <is>
          <t>e3b1fa53dde80e03f7970343151e8ca9</t>
        </is>
      </c>
      <c r="M127" s="46" t="n"/>
    </row>
    <row r="128" ht="40" customHeight="1" s="28">
      <c r="A128" s="43" t="inlineStr">
        <is>
          <t>2026-08-04</t>
        </is>
      </c>
      <c r="B128" s="44" t="inlineStr">
        <is>
          <t>The English Devolution and Community Empowerment Act 2026 (Commencement No. 1 and Saving) Regulations 2026</t>
        </is>
      </c>
      <c r="C128" s="44" t="inlineStr">
        <is>
          <t>legislation.gov.uk</t>
        </is>
      </c>
      <c r="D128" s="44" t="inlineStr">
        <is>
          <t>Statutory Instrument</t>
        </is>
      </c>
      <c r="E128" s="43" t="inlineStr">
        <is>
          <t>2026-06-17</t>
        </is>
      </c>
      <c r="F128" s="43" t="inlineStr">
        <is>
          <t>Yes</t>
        </is>
      </c>
      <c r="G128" s="44" t="inlineStr">
        <is>
          <t>Audit, Transition</t>
        </is>
      </c>
      <c r="H128" s="44" t="inlineStr">
        <is>
          <t>Governance and Transparency; LGR Transition</t>
        </is>
      </c>
      <c r="I128" s="44" t="inlineStr">
        <is>
          <t>https://www.legislation.gov.uk/id/uksi/2026/656</t>
        </is>
      </c>
      <c r="J128" s="43" t="n"/>
      <c r="K128" s="44" t="n"/>
      <c r="L128" s="44" t="inlineStr">
        <is>
          <t>254484ad362d50bf093d83a43e2c458d</t>
        </is>
      </c>
      <c r="M128" s="44" t="n"/>
    </row>
    <row r="129" ht="40" customHeight="1" s="28">
      <c r="A129" s="45" t="inlineStr">
        <is>
          <t>2026-08-04</t>
        </is>
      </c>
      <c r="B129" s="46" t="inlineStr">
        <is>
          <t>The English Devolution and Community Empowerment Act 2026 (Consequential Amendments and Revocations) (England) Regulations 2026</t>
        </is>
      </c>
      <c r="C129" s="46" t="inlineStr">
        <is>
          <t>legislation.gov.uk</t>
        </is>
      </c>
      <c r="D129" s="46" t="inlineStr">
        <is>
          <t>Statutory Instrument</t>
        </is>
      </c>
      <c r="E129" s="45" t="inlineStr">
        <is>
          <t>2026-05-14</t>
        </is>
      </c>
      <c r="F129" s="45" t="inlineStr">
        <is>
          <t>Yes</t>
        </is>
      </c>
      <c r="G129" s="46" t="inlineStr">
        <is>
          <t>Audit, Transition</t>
        </is>
      </c>
      <c r="H129" s="46" t="inlineStr">
        <is>
          <t>Governance and Transparency; LGR Transition</t>
        </is>
      </c>
      <c r="I129" s="46" t="inlineStr">
        <is>
          <t>https://www.legislation.gov.uk/id/uksi/2026/519</t>
        </is>
      </c>
      <c r="J129" s="45" t="n"/>
      <c r="K129" s="46" t="n"/>
      <c r="L129" s="46" t="inlineStr">
        <is>
          <t>27c41f4a3b1de29927a3a8b3533cd42d</t>
        </is>
      </c>
      <c r="M129" s="46" t="n"/>
    </row>
    <row r="130" ht="40" customHeight="1" s="28">
      <c r="A130" s="43" t="inlineStr">
        <is>
          <t>2026-08-04</t>
        </is>
      </c>
      <c r="B130" s="44" t="inlineStr">
        <is>
          <t>The English Devolution and Community Empowerment Act 2026 (Transitional and Saving Provisions) (England) Regulations 2026</t>
        </is>
      </c>
      <c r="C130" s="44" t="inlineStr">
        <is>
          <t>legislation.gov.uk</t>
        </is>
      </c>
      <c r="D130" s="44" t="inlineStr">
        <is>
          <t>Statutory Instrument</t>
        </is>
      </c>
      <c r="E130" s="43" t="inlineStr">
        <is>
          <t>2026-06-26</t>
        </is>
      </c>
      <c r="F130" s="43" t="inlineStr">
        <is>
          <t>Yes</t>
        </is>
      </c>
      <c r="G130" s="44" t="inlineStr">
        <is>
          <t>Audit, Transition</t>
        </is>
      </c>
      <c r="H130" s="44" t="inlineStr">
        <is>
          <t>Governance and Transparency; LGR Transition</t>
        </is>
      </c>
      <c r="I130" s="44" t="inlineStr">
        <is>
          <t>https://www.legislation.gov.uk/id/uksi/2026/482</t>
        </is>
      </c>
      <c r="J130" s="43" t="n"/>
      <c r="K130" s="44" t="n"/>
      <c r="L130" s="44" t="inlineStr">
        <is>
          <t>9180d0ef6e4d4904245d7efd27f8af77</t>
        </is>
      </c>
      <c r="M130" s="44" t="n"/>
    </row>
    <row r="131" ht="40" customHeight="1" s="28">
      <c r="A131" s="45" t="inlineStr">
        <is>
          <t>2026-08-04</t>
        </is>
      </c>
      <c r="B131" s="46" t="inlineStr">
        <is>
          <t>English Devolution and Community Empowerment Act 2026​: Devolution Framework Explainers</t>
        </is>
      </c>
      <c r="C131" s="46" t="inlineStr">
        <is>
          <t>GOV.UK</t>
        </is>
      </c>
      <c r="D131" s="46" t="inlineStr">
        <is>
          <t>Collection</t>
        </is>
      </c>
      <c r="E131" s="45" t="inlineStr">
        <is>
          <t>2026-06-08</t>
        </is>
      </c>
      <c r="F131" s="45" t="inlineStr">
        <is>
          <t>Unclear</t>
        </is>
      </c>
      <c r="G131" s="46" t="inlineStr">
        <is>
          <t>Transition</t>
        </is>
      </c>
      <c r="H131" s="46" t="inlineStr">
        <is>
          <t>LGR Transition</t>
        </is>
      </c>
      <c r="I131" s="46" t="inlineStr">
        <is>
          <t>https://www.gov.uk/government/publications/english-devolution-and-community-empowerment-bill-devolution-framework-explainers</t>
        </is>
      </c>
      <c r="J131" s="45" t="inlineStr">
        <is>
          <t>Yes</t>
        </is>
      </c>
      <c r="K131" s="46" t="inlineStr">
        <is>
          <t>REVIEWED: sets out statutory functions of STRATEGIC AUTHORITIES (EMCCA), not a duty on NCC directly. Matters because it defines the EMCCA / unitary boundary for day-one service allocation. Tracked as OB-L8 and A-033.</t>
        </is>
      </c>
      <c r="L131" s="46" t="inlineStr">
        <is>
          <t>793b25e65048d4f116057d15abe114de</t>
        </is>
      </c>
      <c r="M131" s="46" t="n"/>
    </row>
    <row r="132" ht="40" customHeight="1" s="28">
      <c r="A132" s="43" t="inlineStr">
        <is>
          <t>2026-08-04</t>
        </is>
      </c>
      <c r="B132" s="44" t="inlineStr">
        <is>
          <t>Local Government Pension Scheme administering authorities: local government reorganisation</t>
        </is>
      </c>
      <c r="C132" s="44" t="inlineStr">
        <is>
          <t>GOV.UK</t>
        </is>
      </c>
      <c r="D132" s="44" t="inlineStr">
        <is>
          <t>Attachment</t>
        </is>
      </c>
      <c r="E132" s="43" t="inlineStr">
        <is>
          <t>2026-07-30</t>
        </is>
      </c>
      <c r="F132" s="43" t="inlineStr">
        <is>
          <t>Unclear</t>
        </is>
      </c>
      <c r="G132" s="44" t="inlineStr">
        <is>
          <t>Transition</t>
        </is>
      </c>
      <c r="H132" s="44" t="inlineStr">
        <is>
          <t>LGR Transition</t>
        </is>
      </c>
      <c r="I132" s="44" t="inlineStr">
        <is>
          <t>/government/publications/local-government-pension-scheme-administering-authorities-local-government-reorganisation/local-government-pension-scheme-administering-authorities-local-government-reorganisation</t>
        </is>
      </c>
      <c r="J132" s="43" t="inlineStr"/>
      <c r="K132" s="44" t="inlineStr"/>
      <c r="L132" s="44" t="inlineStr">
        <is>
          <t>db64c6563818b46ba1012f37a74edecb</t>
        </is>
      </c>
      <c r="M132" s="44" t="inlineStr"/>
    </row>
    <row r="133" ht="40" customHeight="1" s="28">
      <c r="A133" s="45" t="inlineStr">
        <is>
          <t>2026-08-04</t>
        </is>
      </c>
      <c r="B133" s="46" t="inlineStr">
        <is>
          <t>Local government reorganisation: staffing issues guidance</t>
        </is>
      </c>
      <c r="C133" s="46" t="inlineStr">
        <is>
          <t>GOV.UK</t>
        </is>
      </c>
      <c r="D133" s="46" t="inlineStr">
        <is>
          <t>Attachment</t>
        </is>
      </c>
      <c r="E133" s="45" t="inlineStr">
        <is>
          <t>2026-07-16</t>
        </is>
      </c>
      <c r="F133" s="45" t="inlineStr">
        <is>
          <t>Unclear</t>
        </is>
      </c>
      <c r="G133" s="46" t="inlineStr">
        <is>
          <t>Transition</t>
        </is>
      </c>
      <c r="H133" s="46" t="inlineStr">
        <is>
          <t>LGR Transition</t>
        </is>
      </c>
      <c r="I133" s="46" t="inlineStr">
        <is>
          <t>https://assets.publishing.service.gov.uk/media/6a58f75b24d4d0ad06d94627/LGR_Staffing_Issues_Guidance.pdf</t>
        </is>
      </c>
      <c r="J133" s="45" t="inlineStr"/>
      <c r="K133" s="46" t="inlineStr"/>
      <c r="L133" s="46" t="inlineStr">
        <is>
          <t>f39506aa245d02927dd42bbdfe0310b6</t>
        </is>
      </c>
      <c r="M133" s="46" t="inlineStr"/>
    </row>
    <row r="134" ht="40" customHeight="1" s="28">
      <c r="A134" s="43" t="inlineStr">
        <is>
          <t>2026-08-04</t>
        </is>
      </c>
      <c r="B134" s="44" t="inlineStr">
        <is>
          <t>Local government reorganisation: staffing issues guidance overview</t>
        </is>
      </c>
      <c r="C134" s="44" t="inlineStr">
        <is>
          <t>GOV.UK</t>
        </is>
      </c>
      <c r="D134" s="44" t="inlineStr">
        <is>
          <t>Attachment</t>
        </is>
      </c>
      <c r="E134" s="43" t="inlineStr">
        <is>
          <t>2026-07-16</t>
        </is>
      </c>
      <c r="F134" s="43" t="inlineStr">
        <is>
          <t>Unclear</t>
        </is>
      </c>
      <c r="G134" s="44" t="inlineStr">
        <is>
          <t>Transition</t>
        </is>
      </c>
      <c r="H134" s="44" t="inlineStr">
        <is>
          <t>LGR Transition</t>
        </is>
      </c>
      <c r="I134" s="44" t="inlineStr">
        <is>
          <t>https://assets.publishing.service.gov.uk/media/6a58d69b908b618a53702f04/Local_government_reorganisation_-_staffing_issues_guidance_overview.pdf</t>
        </is>
      </c>
      <c r="J134" s="43" t="inlineStr"/>
      <c r="K134" s="44" t="inlineStr"/>
      <c r="L134" s="44" t="inlineStr">
        <is>
          <t>86d92d34bceef52fe5b627fff74051a0</t>
        </is>
      </c>
      <c r="M134" s="44" t="inlineStr"/>
    </row>
    <row r="135" ht="40" customHeight="1" s="28">
      <c r="A135" s="45" t="inlineStr">
        <is>
          <t>2026-08-04</t>
        </is>
      </c>
      <c r="B135" s="46" t="inlineStr">
        <is>
          <t>Local government reorganisation: guidance on sector support</t>
        </is>
      </c>
      <c r="C135" s="46" t="inlineStr">
        <is>
          <t>GOV.UK</t>
        </is>
      </c>
      <c r="D135" s="46" t="inlineStr">
        <is>
          <t>Attachment</t>
        </is>
      </c>
      <c r="E135" s="45" t="inlineStr">
        <is>
          <t>2026-07-16</t>
        </is>
      </c>
      <c r="F135" s="45" t="inlineStr">
        <is>
          <t>Unclear</t>
        </is>
      </c>
      <c r="G135" s="46" t="inlineStr">
        <is>
          <t>Transition</t>
        </is>
      </c>
      <c r="H135" s="46" t="inlineStr">
        <is>
          <t>LGR Transition</t>
        </is>
      </c>
      <c r="I135" s="46" t="inlineStr">
        <is>
          <t>https://assets.publishing.service.gov.uk/media/6a58a7452f6185941a9a6647/Local_government_reorganisation_-_sector_support_guidance.pdf</t>
        </is>
      </c>
      <c r="J135" s="45" t="inlineStr"/>
      <c r="K135" s="46" t="inlineStr"/>
      <c r="L135" s="46" t="inlineStr">
        <is>
          <t>eabdca899e75b10c3f91ee83057bae71</t>
        </is>
      </c>
      <c r="M135" s="46" t="inlineStr"/>
    </row>
    <row r="136" ht="40" customHeight="1" s="28">
      <c r="A136" s="43" t="inlineStr">
        <is>
          <t>2026-08-04</t>
        </is>
      </c>
      <c r="B136" s="44" t="inlineStr">
        <is>
          <t>Local government reorganisation: implementation guidance for the first transition period</t>
        </is>
      </c>
      <c r="C136" s="44" t="inlineStr">
        <is>
          <t>GOV.UK</t>
        </is>
      </c>
      <c r="D136" s="44" t="inlineStr">
        <is>
          <t>Attachment</t>
        </is>
      </c>
      <c r="E136" s="43" t="inlineStr">
        <is>
          <t>2026-05-21</t>
        </is>
      </c>
      <c r="F136" s="43" t="inlineStr">
        <is>
          <t>Unclear</t>
        </is>
      </c>
      <c r="G136" s="44" t="inlineStr">
        <is>
          <t>Transition</t>
        </is>
      </c>
      <c r="H136" s="44" t="inlineStr">
        <is>
          <t>LGR Transition</t>
        </is>
      </c>
      <c r="I136" s="44" t="inlineStr">
        <is>
          <t>https://assets.publishing.service.gov.uk/media/69b1a416cdd628b29e349705/Local_government_reorganisation_-_implementation_guidance.pdf</t>
        </is>
      </c>
      <c r="J136" s="43" t="inlineStr"/>
      <c r="K136" s="44" t="inlineStr"/>
      <c r="L136" s="44" t="inlineStr">
        <is>
          <t>bbb4a9c71e2ea227048901ed55969917</t>
        </is>
      </c>
      <c r="M136" s="44" t="inlineStr"/>
    </row>
    <row r="137" ht="40" customHeight="1" s="28">
      <c r="A137" s="45" t="inlineStr">
        <is>
          <t>2026-08-04</t>
        </is>
      </c>
      <c r="B137" s="46" t="inlineStr">
        <is>
          <t>Local government reorganisation: implementation guidance for the second transition period</t>
        </is>
      </c>
      <c r="C137" s="46" t="inlineStr">
        <is>
          <t>GOV.UK</t>
        </is>
      </c>
      <c r="D137" s="46" t="inlineStr">
        <is>
          <t>Attachment</t>
        </is>
      </c>
      <c r="E137" s="45" t="inlineStr">
        <is>
          <t>2026-05-21</t>
        </is>
      </c>
      <c r="F137" s="45" t="inlineStr">
        <is>
          <t>Unclear</t>
        </is>
      </c>
      <c r="G137" s="46" t="inlineStr">
        <is>
          <t>Transition</t>
        </is>
      </c>
      <c r="H137" s="46" t="inlineStr">
        <is>
          <t>LGR Transition</t>
        </is>
      </c>
      <c r="I137" s="46" t="inlineStr">
        <is>
          <t>https://assets.publishing.service.gov.uk/media/6a0eeefc9c0df135284ec7ae/Local_government_reorganisation_-_implementation_guidance_for_the_second_transition_period.pdf</t>
        </is>
      </c>
      <c r="J137" s="45" t="inlineStr"/>
      <c r="K137" s="46" t="inlineStr"/>
      <c r="L137" s="46" t="inlineStr">
        <is>
          <t>54c000e984637d9b46caaed5e0b2958b</t>
        </is>
      </c>
      <c r="M137" s="46" t="inlineStr"/>
    </row>
    <row r="138" ht="40" customHeight="1" s="28">
      <c r="A138" s="43" t="inlineStr">
        <is>
          <t>2026-08-04</t>
        </is>
      </c>
      <c r="B138" s="44" t="inlineStr">
        <is>
          <t>Local government reorganisation: summary of feedback on interim plans</t>
        </is>
      </c>
      <c r="C138" s="44" t="inlineStr">
        <is>
          <t>GOV.UK</t>
        </is>
      </c>
      <c r="D138" s="44" t="inlineStr">
        <is>
          <t>Attachment</t>
        </is>
      </c>
      <c r="E138" s="43" t="inlineStr">
        <is>
          <t>2025-06-03</t>
        </is>
      </c>
      <c r="F138" s="43" t="inlineStr">
        <is>
          <t>Unclear</t>
        </is>
      </c>
      <c r="G138" s="44" t="inlineStr">
        <is>
          <t>Transition</t>
        </is>
      </c>
      <c r="H138" s="44" t="inlineStr">
        <is>
          <t>LGR Transition</t>
        </is>
      </c>
      <c r="I138" s="44" t="inlineStr">
        <is>
          <t>/government/publications/local-government-reorganisation-summary-of-feedback-on-interim-plans/local-government-reorganisation-summary-of-feedback-on-interim-plans</t>
        </is>
      </c>
      <c r="J138" s="43" t="inlineStr"/>
      <c r="K138" s="44" t="inlineStr"/>
      <c r="L138" s="44" t="inlineStr">
        <is>
          <t>81eb402569d1df2510c023e510b7e5fd</t>
        </is>
      </c>
      <c r="M138" s="44" t="inlineStr"/>
    </row>
    <row r="139" ht="40" customHeight="1" s="28">
      <c r="A139" s="45" t="inlineStr">
        <is>
          <t>2026-08-04</t>
        </is>
      </c>
      <c r="B139" s="46" t="inlineStr">
        <is>
          <t>English Devolution White Paper</t>
        </is>
      </c>
      <c r="C139" s="46" t="inlineStr">
        <is>
          <t>GOV.UK</t>
        </is>
      </c>
      <c r="D139" s="46" t="inlineStr">
        <is>
          <t>Attachment</t>
        </is>
      </c>
      <c r="E139" s="45" t="inlineStr">
        <is>
          <t>2024-12-16</t>
        </is>
      </c>
      <c r="F139" s="45" t="inlineStr">
        <is>
          <t>Unclear</t>
        </is>
      </c>
      <c r="G139" s="46" t="inlineStr">
        <is>
          <t>Transition</t>
        </is>
      </c>
      <c r="H139" s="46" t="inlineStr">
        <is>
          <t>LGR Transition</t>
        </is>
      </c>
      <c r="I139" s="46" t="inlineStr">
        <is>
          <t>/government/publications/english-devolution-white-paper-power-and-partnership-foundations-for-growth/english-devolution-white-paper</t>
        </is>
      </c>
      <c r="J139" s="45" t="inlineStr"/>
      <c r="K139" s="46" t="inlineStr"/>
      <c r="L139" s="46" t="inlineStr">
        <is>
          <t>09e260469495b3c018781499a703a588</t>
        </is>
      </c>
      <c r="M139" s="46" t="inlineStr"/>
    </row>
    <row r="140" ht="40" customHeight="1" s="28">
      <c r="A140" s="43" t="inlineStr">
        <is>
          <t>2026-08-04</t>
        </is>
      </c>
      <c r="B140" s="44" t="inlineStr">
        <is>
          <t>English Devolution White Paper</t>
        </is>
      </c>
      <c r="C140" s="44" t="inlineStr">
        <is>
          <t>GOV.UK</t>
        </is>
      </c>
      <c r="D140" s="44" t="inlineStr">
        <is>
          <t>Attachment</t>
        </is>
      </c>
      <c r="E140" s="43" t="inlineStr">
        <is>
          <t>2024-12-16</t>
        </is>
      </c>
      <c r="F140" s="43" t="inlineStr">
        <is>
          <t>Unclear</t>
        </is>
      </c>
      <c r="G140" s="44" t="inlineStr">
        <is>
          <t>Transition</t>
        </is>
      </c>
      <c r="H140" s="44" t="inlineStr">
        <is>
          <t>LGR Transition</t>
        </is>
      </c>
      <c r="I140" s="44" t="inlineStr">
        <is>
          <t>https://assets.publishing.service.gov.uk/media/67ade9866e6c8d18118acd58/English_Devolution_White_Paper_Web_Accessible.pdf</t>
        </is>
      </c>
      <c r="J140" s="43" t="inlineStr"/>
      <c r="K140" s="44" t="inlineStr"/>
      <c r="L140" s="44" t="inlineStr">
        <is>
          <t>f4510012e08feda08cae1d99ad3df59e</t>
        </is>
      </c>
      <c r="M140" s="44" t="inlineStr"/>
    </row>
    <row r="141" ht="40" customHeight="1" s="28">
      <c r="A141" s="45" t="inlineStr">
        <is>
          <t>2026-08-04</t>
        </is>
      </c>
      <c r="B141" s="46" t="inlineStr">
        <is>
          <t>Letter to council leaders: update on Secretary of State's decision regarding local elections of May 2026</t>
        </is>
      </c>
      <c r="C141" s="46" t="inlineStr">
        <is>
          <t>GOV.UK</t>
        </is>
      </c>
      <c r="D141" s="46" t="inlineStr">
        <is>
          <t>Attachment</t>
        </is>
      </c>
      <c r="E141" s="45" t="inlineStr">
        <is>
          <t>2026-02-16</t>
        </is>
      </c>
      <c r="F141" s="45" t="inlineStr">
        <is>
          <t>Unclear</t>
        </is>
      </c>
      <c r="G141" s="46" t="inlineStr">
        <is>
          <t>Transition</t>
        </is>
      </c>
      <c r="H141" s="46" t="inlineStr">
        <is>
          <t>LGR Transition</t>
        </is>
      </c>
      <c r="I141" s="46" t="inlineStr">
        <is>
          <t>https://assets.publishing.service.gov.uk/media/699328da7da91680ad7f44a9/update_on_secretary_of_state_s_decision_regarding_local_elections_of_may_2026_-_letter_to_council_leaders.pdf</t>
        </is>
      </c>
      <c r="J141" s="45" t="inlineStr"/>
      <c r="K141" s="46" t="inlineStr"/>
      <c r="L141" s="46" t="inlineStr">
        <is>
          <t>3c86e7aa79ba15032b729f3217637941</t>
        </is>
      </c>
      <c r="M141" s="46" t="inlineStr"/>
    </row>
    <row r="142" ht="40" customHeight="1" s="28">
      <c r="A142" s="43" t="inlineStr">
        <is>
          <t>2026-08-04</t>
        </is>
      </c>
      <c r="B142" s="44" t="inlineStr">
        <is>
          <t>Letter to Pendle Borough Council</t>
        </is>
      </c>
      <c r="C142" s="44" t="inlineStr">
        <is>
          <t>GOV.UK</t>
        </is>
      </c>
      <c r="D142" s="44" t="inlineStr">
        <is>
          <t>Attachment</t>
        </is>
      </c>
      <c r="E142" s="43" t="inlineStr">
        <is>
          <t>2026-01-29</t>
        </is>
      </c>
      <c r="F142" s="43" t="inlineStr">
        <is>
          <t>Unclear</t>
        </is>
      </c>
      <c r="G142" s="44" t="inlineStr">
        <is>
          <t>Transition</t>
        </is>
      </c>
      <c r="H142" s="44" t="inlineStr">
        <is>
          <t>LGR Transition</t>
        </is>
      </c>
      <c r="I142" s="44" t="inlineStr">
        <is>
          <t>https://assets.publishing.service.gov.uk/media/697b3799b28b2cc262572ef3/Letter_to_Pendle_Borough_Council.pdf</t>
        </is>
      </c>
      <c r="J142" s="43" t="inlineStr"/>
      <c r="K142" s="44" t="inlineStr"/>
      <c r="L142" s="44" t="inlineStr">
        <is>
          <t>c02ac374d257069f0ea849fa80219338</t>
        </is>
      </c>
      <c r="M142" s="44" t="inlineStr"/>
    </row>
    <row r="143" ht="40" customHeight="1" s="28">
      <c r="A143" s="45" t="inlineStr">
        <is>
          <t>2026-08-04</t>
        </is>
      </c>
      <c r="B143" s="46" t="inlineStr">
        <is>
          <t>Letter to council leaders on the postponement of May 2026 local elections</t>
        </is>
      </c>
      <c r="C143" s="46" t="inlineStr">
        <is>
          <t>GOV.UK</t>
        </is>
      </c>
      <c r="D143" s="46" t="inlineStr">
        <is>
          <t>Attachment</t>
        </is>
      </c>
      <c r="E143" s="45" t="inlineStr">
        <is>
          <t>2026-01-22</t>
        </is>
      </c>
      <c r="F143" s="45" t="inlineStr">
        <is>
          <t>Unclear</t>
        </is>
      </c>
      <c r="G143" s="46" t="inlineStr">
        <is>
          <t>Transition</t>
        </is>
      </c>
      <c r="H143" s="46" t="inlineStr">
        <is>
          <t>LGR Transition</t>
        </is>
      </c>
      <c r="I143" s="46" t="inlineStr">
        <is>
          <t>https://assets.publishing.service.gov.uk/media/69720b4ca1311bdcfa0ed8ab/Letter_to_Council_Leaders_on_postponement_of_local_elections_in_May_2026.pdf</t>
        </is>
      </c>
      <c r="J143" s="45" t="inlineStr"/>
      <c r="K143" s="46" t="inlineStr"/>
      <c r="L143" s="46" t="inlineStr">
        <is>
          <t>7f5b1249783a65c2e3ee3ba440afa0fd</t>
        </is>
      </c>
      <c r="M143" s="46" t="inlineStr"/>
    </row>
    <row r="144" ht="40" customHeight="1" s="28">
      <c r="A144" s="43" t="inlineStr">
        <is>
          <t>2026-08-04</t>
        </is>
      </c>
      <c r="B144" s="44" t="inlineStr">
        <is>
          <t>Letter to leader of Oxford City Council</t>
        </is>
      </c>
      <c r="C144" s="44" t="inlineStr">
        <is>
          <t>GOV.UK</t>
        </is>
      </c>
      <c r="D144" s="44" t="inlineStr">
        <is>
          <t>Attachment</t>
        </is>
      </c>
      <c r="E144" s="43" t="inlineStr">
        <is>
          <t>2026-01-19</t>
        </is>
      </c>
      <c r="F144" s="43" t="inlineStr">
        <is>
          <t>Unclear</t>
        </is>
      </c>
      <c r="G144" s="44" t="inlineStr">
        <is>
          <t>Transition</t>
        </is>
      </c>
      <c r="H144" s="44" t="inlineStr">
        <is>
          <t>LGR Transition</t>
        </is>
      </c>
      <c r="I144" s="44" t="inlineStr">
        <is>
          <t>https://assets.publishing.service.gov.uk/media/696e1a4f091f0cc41e81a24b/Letter_to_leader_of_Oxford_City_Council.pdf</t>
        </is>
      </c>
      <c r="J144" s="43" t="inlineStr"/>
      <c r="K144" s="44" t="inlineStr"/>
      <c r="L144" s="44" t="inlineStr">
        <is>
          <t>2524783ce18e0a6978e2c132a8b17d02</t>
        </is>
      </c>
      <c r="M144" s="44" t="inlineStr"/>
    </row>
    <row r="145" ht="40" customHeight="1" s="28">
      <c r="A145" s="45" t="inlineStr">
        <is>
          <t>2026-08-04</t>
        </is>
      </c>
      <c r="B145" s="46" t="inlineStr">
        <is>
          <t>Letter to leader of Southampton City Council</t>
        </is>
      </c>
      <c r="C145" s="46" t="inlineStr">
        <is>
          <t>GOV.UK</t>
        </is>
      </c>
      <c r="D145" s="46" t="inlineStr">
        <is>
          <t>Attachment</t>
        </is>
      </c>
      <c r="E145" s="45" t="inlineStr">
        <is>
          <t>2026-01-19</t>
        </is>
      </c>
      <c r="F145" s="45" t="inlineStr">
        <is>
          <t>Unclear</t>
        </is>
      </c>
      <c r="G145" s="46" t="inlineStr">
        <is>
          <t>Transition</t>
        </is>
      </c>
      <c r="H145" s="46" t="inlineStr">
        <is>
          <t>LGR Transition</t>
        </is>
      </c>
      <c r="I145" s="46" t="inlineStr">
        <is>
          <t>https://assets.publishing.service.gov.uk/media/696e1a9da426b80193afc7fe/Letter_to_leader_of_Southampton_City_Council.pdf</t>
        </is>
      </c>
      <c r="J145" s="45" t="inlineStr"/>
      <c r="K145" s="46" t="inlineStr"/>
      <c r="L145" s="46" t="inlineStr">
        <is>
          <t>1b163337356b2ca5ac74cb2f58ec8df6</t>
        </is>
      </c>
      <c r="M145" s="46" t="inlineStr"/>
    </row>
    <row r="146" ht="40" customHeight="1" s="28">
      <c r="A146" s="43" t="inlineStr">
        <is>
          <t>2026-08-04</t>
        </is>
      </c>
      <c r="B146" s="44" t="inlineStr">
        <is>
          <t>Letter to council leaders with elections in May 2026</t>
        </is>
      </c>
      <c r="C146" s="44" t="inlineStr">
        <is>
          <t>GOV.UK</t>
        </is>
      </c>
      <c r="D146" s="44" t="inlineStr">
        <is>
          <t>Attachment</t>
        </is>
      </c>
      <c r="E146" s="43" t="inlineStr">
        <is>
          <t>2025-12-18</t>
        </is>
      </c>
      <c r="F146" s="43" t="inlineStr">
        <is>
          <t>Unclear</t>
        </is>
      </c>
      <c r="G146" s="44" t="inlineStr">
        <is>
          <t>Transition</t>
        </is>
      </c>
      <c r="H146" s="44" t="inlineStr">
        <is>
          <t>LGR Transition</t>
        </is>
      </c>
      <c r="I146" s="44" t="inlineStr">
        <is>
          <t>https://assets.publishing.service.gov.uk/media/6944196136f089d38be1f31a/lgr-letter-councils-elections-may-2026.pdf</t>
        </is>
      </c>
      <c r="J146" s="43" t="inlineStr"/>
      <c r="K146" s="44" t="inlineStr"/>
      <c r="L146" s="44" t="inlineStr">
        <is>
          <t>e4f385faea14eb07dd43377a034ae032</t>
        </is>
      </c>
      <c r="M146" s="44" t="inlineStr"/>
    </row>
    <row r="147" ht="40" customHeight="1" s="28">
      <c r="A147" s="45" t="inlineStr">
        <is>
          <t>2026-08-04</t>
        </is>
      </c>
      <c r="B147" s="46" t="inlineStr">
        <is>
          <t>Letter to council leader on the publicity code</t>
        </is>
      </c>
      <c r="C147" s="46" t="inlineStr">
        <is>
          <t>GOV.UK</t>
        </is>
      </c>
      <c r="D147" s="46" t="inlineStr">
        <is>
          <t>Attachment</t>
        </is>
      </c>
      <c r="E147" s="45" t="inlineStr">
        <is>
          <t>2025-11-19</t>
        </is>
      </c>
      <c r="F147" s="45" t="inlineStr">
        <is>
          <t>Unclear</t>
        </is>
      </c>
      <c r="G147" s="46" t="inlineStr">
        <is>
          <t>Transition</t>
        </is>
      </c>
      <c r="H147" s="46" t="inlineStr">
        <is>
          <t>LGR Transition</t>
        </is>
      </c>
      <c r="I147" s="46" t="inlineStr">
        <is>
          <t>https://assets.publishing.service.gov.uk/media/691dde2f513046b952c500af/Letter_to_Leaders_on_Publicity_Code_and_Local_Government_Reorganisation.pdf</t>
        </is>
      </c>
      <c r="J147" s="45" t="inlineStr"/>
      <c r="K147" s="46" t="inlineStr"/>
      <c r="L147" s="46" t="inlineStr">
        <is>
          <t>9b8895f9a5e3963b18c575962e3b9050</t>
        </is>
      </c>
      <c r="M147" s="46" t="inlineStr"/>
    </row>
    <row r="148" ht="40" customHeight="1" s="28">
      <c r="A148" s="43" t="inlineStr">
        <is>
          <t>2026-08-04</t>
        </is>
      </c>
      <c r="B148" s="44" t="inlineStr">
        <is>
          <t>Local government reorganisation: letter to areas invited to submit final proposals</t>
        </is>
      </c>
      <c r="C148" s="44" t="inlineStr">
        <is>
          <t>GOV.UK</t>
        </is>
      </c>
      <c r="D148" s="44" t="inlineStr">
        <is>
          <t>Attachment</t>
        </is>
      </c>
      <c r="E148" s="43" t="inlineStr">
        <is>
          <t>2025-07-24</t>
        </is>
      </c>
      <c r="F148" s="43" t="inlineStr">
        <is>
          <t>Unclear</t>
        </is>
      </c>
      <c r="G148" s="44" t="inlineStr">
        <is>
          <t>Transition</t>
        </is>
      </c>
      <c r="H148" s="44" t="inlineStr">
        <is>
          <t>LGR Transition</t>
        </is>
      </c>
      <c r="I148" s="44" t="inlineStr">
        <is>
          <t>/government/publications/local-government-reorganisation-letter-to-areas-invited-to-submitted-final-proposals/local-government-reorganisation-letter-to-areas-invited-to-submitted-final-proposals</t>
        </is>
      </c>
      <c r="J148" s="43" t="inlineStr"/>
      <c r="K148" s="44" t="inlineStr"/>
      <c r="L148" s="44" t="inlineStr">
        <is>
          <t>2bded096ec6af781c7ec3e4d20e236bc</t>
        </is>
      </c>
      <c r="M148" s="44" t="inlineStr"/>
    </row>
    <row r="149" ht="40" customHeight="1" s="28">
      <c r="A149" s="45" t="inlineStr">
        <is>
          <t>2026-08-04</t>
        </is>
      </c>
      <c r="B149" s="46" t="inlineStr">
        <is>
          <t>Local government reorganisation: Considerations for partnership working in social care for new unitary authorities</t>
        </is>
      </c>
      <c r="C149" s="46" t="inlineStr">
        <is>
          <t>GOV.UK</t>
        </is>
      </c>
      <c r="D149" s="46" t="inlineStr">
        <is>
          <t>Attachment</t>
        </is>
      </c>
      <c r="E149" s="45" t="inlineStr">
        <is>
          <t>2025-07-24</t>
        </is>
      </c>
      <c r="F149" s="45" t="inlineStr">
        <is>
          <t>Unclear</t>
        </is>
      </c>
      <c r="G149" s="46" t="inlineStr">
        <is>
          <t>Transition</t>
        </is>
      </c>
      <c r="H149" s="46" t="inlineStr">
        <is>
          <t>LGR Transition</t>
        </is>
      </c>
      <c r="I149" s="46" t="inlineStr">
        <is>
          <t>/government/publications/local-government-reorganisation-letter-to-areas-invited-to-submitted-final-proposals/local-government-reorganisation-considerations-for-partnership-working-in-social-care-for-new-unitary-authorities</t>
        </is>
      </c>
      <c r="J149" s="45" t="inlineStr"/>
      <c r="K149" s="46" t="inlineStr"/>
      <c r="L149" s="46" t="inlineStr">
        <is>
          <t>88dbe6cf11d66c4e37fd7908b3f74466</t>
        </is>
      </c>
      <c r="M149" s="46" t="inlineStr"/>
    </row>
    <row r="150" ht="40" customHeight="1" s="28">
      <c r="A150" s="43" t="inlineStr">
        <is>
          <t>2026-08-04</t>
        </is>
      </c>
      <c r="B150" s="44" t="inlineStr">
        <is>
          <t>Summary of the local government reorganisation process</t>
        </is>
      </c>
      <c r="C150" s="44" t="inlineStr">
        <is>
          <t>GOV.UK</t>
        </is>
      </c>
      <c r="D150" s="44" t="inlineStr">
        <is>
          <t>Attachment</t>
        </is>
      </c>
      <c r="E150" s="43" t="inlineStr">
        <is>
          <t>2025-07-24</t>
        </is>
      </c>
      <c r="F150" s="43" t="inlineStr">
        <is>
          <t>Unclear</t>
        </is>
      </c>
      <c r="G150" s="44" t="inlineStr">
        <is>
          <t>Transition</t>
        </is>
      </c>
      <c r="H150" s="44" t="inlineStr">
        <is>
          <t>LGR Transition</t>
        </is>
      </c>
      <c r="I150" s="44" t="inlineStr">
        <is>
          <t>/government/publications/local-government-reorganisation-letter-to-areas-invited-to-submitted-final-proposals/summary-of-the-local-government-reorganisation-process</t>
        </is>
      </c>
      <c r="J150" s="43" t="inlineStr"/>
      <c r="K150" s="44" t="inlineStr"/>
      <c r="L150" s="44" t="inlineStr">
        <is>
          <t>363996639d432ab1f1b8904a0c3ecd02</t>
        </is>
      </c>
      <c r="M150" s="44" t="inlineStr"/>
    </row>
    <row r="151" ht="40" customHeight="1" s="28">
      <c r="A151" s="45" t="inlineStr">
        <is>
          <t>2026-08-04</t>
        </is>
      </c>
      <c r="B151" s="46" t="inlineStr">
        <is>
          <t>Financial decisions before local government reorganisation</t>
        </is>
      </c>
      <c r="C151" s="46" t="inlineStr">
        <is>
          <t>GOV.UK</t>
        </is>
      </c>
      <c r="D151" s="46" t="inlineStr">
        <is>
          <t>Attachment</t>
        </is>
      </c>
      <c r="E151" s="45" t="inlineStr">
        <is>
          <t>2025-07-24</t>
        </is>
      </c>
      <c r="F151" s="45" t="inlineStr">
        <is>
          <t>Unclear</t>
        </is>
      </c>
      <c r="G151" s="46" t="inlineStr">
        <is>
          <t>Transition</t>
        </is>
      </c>
      <c r="H151" s="46" t="inlineStr">
        <is>
          <t>LGR Transition</t>
        </is>
      </c>
      <c r="I151" s="46" t="inlineStr">
        <is>
          <t>/government/publications/local-government-reorganisation-letter-to-areas-invited-to-submitted-final-proposals/financial-decisions-before-local-government-reorganisation</t>
        </is>
      </c>
      <c r="J151" s="45" t="inlineStr"/>
      <c r="K151" s="46" t="inlineStr"/>
      <c r="L151" s="46" t="inlineStr">
        <is>
          <t>6a4a8336d5645c502d3fd8326204efa5</t>
        </is>
      </c>
      <c r="M151" s="46" t="inlineStr"/>
    </row>
    <row r="152" ht="40" customHeight="1" s="28">
      <c r="A152" s="43" t="inlineStr">
        <is>
          <t>2026-08-04</t>
        </is>
      </c>
      <c r="B152" s="44" t="inlineStr">
        <is>
          <t>Nottinghamshire and Nottingham</t>
        </is>
      </c>
      <c r="C152" s="44" t="inlineStr">
        <is>
          <t>GOV.UK</t>
        </is>
      </c>
      <c r="D152" s="44" t="inlineStr">
        <is>
          <t>Attachment</t>
        </is>
      </c>
      <c r="E152" s="43" t="inlineStr">
        <is>
          <t>2025-02-06</t>
        </is>
      </c>
      <c r="F152" s="43" t="inlineStr">
        <is>
          <t>Yes</t>
        </is>
      </c>
      <c r="G152" s="44" t="inlineStr">
        <is>
          <t>Local, Transition</t>
        </is>
      </c>
      <c r="H152" s="44" t="inlineStr">
        <is>
          <t>LGR Transition</t>
        </is>
      </c>
      <c r="I152" s="44" t="inlineStr">
        <is>
          <t>/government/publications/local-government-reorganisation-invitation-to-local-authorities-in-two-tier-areas/nottinghamshire-and-nottingham</t>
        </is>
      </c>
      <c r="J152" s="43" t="inlineStr"/>
      <c r="K152" s="44" t="inlineStr"/>
      <c r="L152" s="44" t="inlineStr">
        <is>
          <t>f2077f587d88ce4ffdbe198a8e816e98</t>
        </is>
      </c>
      <c r="M152" s="44" t="inlineStr"/>
    </row>
    <row r="153" ht="40" customHeight="1" s="28">
      <c r="A153" s="45" t="inlineStr">
        <is>
          <t>2026-08-04</t>
        </is>
      </c>
      <c r="B153" s="46" t="inlineStr">
        <is>
          <t>Letter from Jim McMahon, Minister for Local Government and English Devolution (16 December 2024)</t>
        </is>
      </c>
      <c r="C153" s="46" t="inlineStr">
        <is>
          <t>GOV.UK</t>
        </is>
      </c>
      <c r="D153" s="46" t="inlineStr">
        <is>
          <t>Attachment</t>
        </is>
      </c>
      <c r="E153" s="45" t="inlineStr">
        <is>
          <t>2025-01-15</t>
        </is>
      </c>
      <c r="F153" s="45" t="inlineStr">
        <is>
          <t>Unclear</t>
        </is>
      </c>
      <c r="G153" s="46" t="inlineStr">
        <is>
          <t>Transition</t>
        </is>
      </c>
      <c r="H153" s="46" t="inlineStr">
        <is>
          <t>LGR Transition</t>
        </is>
      </c>
      <c r="I153" s="46" t="inlineStr">
        <is>
          <t>https://assets.publishing.service.gov.uk/media/67864788f041702a11ca0f44/Local_government_reorganisation_-_letter_to_two-tier_areas.pdf</t>
        </is>
      </c>
      <c r="J153" s="45" t="inlineStr"/>
      <c r="K153" s="46" t="inlineStr"/>
      <c r="L153" s="46" t="inlineStr">
        <is>
          <t>bf0f43be0abe9545716d6f8155796eaf</t>
        </is>
      </c>
      <c r="M153" s="46" t="inlineStr"/>
    </row>
    <row r="154" ht="40" customHeight="1" s="28">
      <c r="A154" s="43" t="inlineStr">
        <is>
          <t>2026-08-04</t>
        </is>
      </c>
      <c r="B154" s="44" t="inlineStr">
        <is>
          <t>Local Government Reorganisation (LGR) Advisory Group 12 May 2025</t>
        </is>
      </c>
      <c r="C154" s="44" t="inlineStr">
        <is>
          <t>GOV.UK</t>
        </is>
      </c>
      <c r="D154" s="44" t="inlineStr">
        <is>
          <t>Attachment</t>
        </is>
      </c>
      <c r="E154" s="43" t="inlineStr">
        <is>
          <t>2026-08-04</t>
        </is>
      </c>
      <c r="F154" s="43" t="inlineStr">
        <is>
          <t>Unclear</t>
        </is>
      </c>
      <c r="G154" s="44" t="inlineStr">
        <is>
          <t>Transition</t>
        </is>
      </c>
      <c r="H154" s="44" t="inlineStr">
        <is>
          <t>LGR Transition</t>
        </is>
      </c>
      <c r="I154" s="44" t="inlineStr">
        <is>
          <t>https://assets.publishing.service.gov.uk/media/68834b9ebe2291b14d11aee6/Local_Government_Reorganisation_Advisory_Group_12_May_2025.pdf</t>
        </is>
      </c>
      <c r="J154" s="43" t="inlineStr"/>
      <c r="K154" s="44" t="inlineStr"/>
      <c r="L154" s="44" t="inlineStr">
        <is>
          <t>71554a1fad9a19e033a4581981496e2f</t>
        </is>
      </c>
      <c r="M154" s="44" t="inlineStr"/>
    </row>
    <row r="155" ht="40" customHeight="1" s="28">
      <c r="A155" s="45" t="inlineStr">
        <is>
          <t>2026-08-04</t>
        </is>
      </c>
      <c r="B155" s="46" t="inlineStr">
        <is>
          <t>Local Government Reorganisation (LGR) Advisory Group 3 September 2025</t>
        </is>
      </c>
      <c r="C155" s="46" t="inlineStr">
        <is>
          <t>GOV.UK</t>
        </is>
      </c>
      <c r="D155" s="46" t="inlineStr">
        <is>
          <t>Attachment</t>
        </is>
      </c>
      <c r="E155" s="45" t="inlineStr">
        <is>
          <t>2026-08-04</t>
        </is>
      </c>
      <c r="F155" s="45" t="inlineStr">
        <is>
          <t>Unclear</t>
        </is>
      </c>
      <c r="G155" s="46" t="inlineStr">
        <is>
          <t>Transition</t>
        </is>
      </c>
      <c r="H155" s="46" t="inlineStr">
        <is>
          <t>LGR Transition</t>
        </is>
      </c>
      <c r="I155" s="46" t="inlineStr">
        <is>
          <t>https://assets.publishing.service.gov.uk/media/690386535c84b1206832a89c/LGR_Advisory_Group_Meeting_Summary_3_September.pdf</t>
        </is>
      </c>
      <c r="J155" s="45" t="inlineStr"/>
      <c r="K155" s="46" t="inlineStr"/>
      <c r="L155" s="46" t="inlineStr">
        <is>
          <t>5bb4038044a04e13d53345d49f83eabb</t>
        </is>
      </c>
      <c r="M155" s="46" t="inlineStr"/>
    </row>
    <row r="156" ht="40" customHeight="1" s="28">
      <c r="A156" s="43" t="inlineStr">
        <is>
          <t>2026-08-04</t>
        </is>
      </c>
      <c r="B156" s="44" t="inlineStr">
        <is>
          <t>Local Government Reorganisation (LGR) Advisory Group 6 October 2025</t>
        </is>
      </c>
      <c r="C156" s="44" t="inlineStr">
        <is>
          <t>GOV.UK</t>
        </is>
      </c>
      <c r="D156" s="44" t="inlineStr">
        <is>
          <t>Attachment</t>
        </is>
      </c>
      <c r="E156" s="43" t="inlineStr">
        <is>
          <t>2026-08-04</t>
        </is>
      </c>
      <c r="F156" s="43" t="inlineStr">
        <is>
          <t>Unclear</t>
        </is>
      </c>
      <c r="G156" s="44" t="inlineStr">
        <is>
          <t>Transition</t>
        </is>
      </c>
      <c r="H156" s="44" t="inlineStr">
        <is>
          <t>LGR Transition</t>
        </is>
      </c>
      <c r="I156" s="44" t="inlineStr">
        <is>
          <t>https://assets.publishing.service.gov.uk/media/690386695c84b1206832a89d/October_Advisory_Group_Short_Summary.pdf</t>
        </is>
      </c>
      <c r="J156" s="43" t="inlineStr"/>
      <c r="K156" s="44" t="inlineStr"/>
      <c r="L156" s="44" t="inlineStr">
        <is>
          <t>d68e5618875880643c4a5820f54f2388</t>
        </is>
      </c>
      <c r="M156" s="44" t="inlineStr"/>
    </row>
    <row r="157" ht="40" customHeight="1" s="28">
      <c r="A157" s="45" t="inlineStr">
        <is>
          <t>2026-08-04</t>
        </is>
      </c>
      <c r="B157" s="46" t="inlineStr">
        <is>
          <t>Local Government Reorganisation Advisory Group – Terms of Reference and membership</t>
        </is>
      </c>
      <c r="C157" s="46" t="inlineStr">
        <is>
          <t>GOV.UK</t>
        </is>
      </c>
      <c r="D157" s="46" t="inlineStr">
        <is>
          <t>Attachment</t>
        </is>
      </c>
      <c r="E157" s="45" t="inlineStr">
        <is>
          <t>2026-08-04</t>
        </is>
      </c>
      <c r="F157" s="45" t="inlineStr">
        <is>
          <t>Unclear</t>
        </is>
      </c>
      <c r="G157" s="46" t="inlineStr">
        <is>
          <t>Transition</t>
        </is>
      </c>
      <c r="H157" s="46" t="inlineStr">
        <is>
          <t>LGR Transition</t>
        </is>
      </c>
      <c r="I157" s="46" t="inlineStr">
        <is>
          <t>https://assets.publishing.service.gov.uk/media/690387655c84b1206832a89e/LGR_AG_Terms_of_Reference_and_membership.pdf</t>
        </is>
      </c>
      <c r="J157" s="45" t="inlineStr"/>
      <c r="K157" s="46" t="inlineStr"/>
      <c r="L157" s="46" t="inlineStr">
        <is>
          <t>41e699f0548aef37fb1ff772c0247d00</t>
        </is>
      </c>
      <c r="M157" s="46" t="inlineStr"/>
    </row>
    <row r="158" ht="40" customHeight="1" s="28">
      <c r="A158" s="43" t="inlineStr">
        <is>
          <t>2026-08-04</t>
        </is>
      </c>
      <c r="B158" s="44" t="inlineStr">
        <is>
          <t>Local Government Reorganisation Advisory Group 6 November 2025</t>
        </is>
      </c>
      <c r="C158" s="44" t="inlineStr">
        <is>
          <t>GOV.UK</t>
        </is>
      </c>
      <c r="D158" s="44" t="inlineStr">
        <is>
          <t>Attachment</t>
        </is>
      </c>
      <c r="E158" s="43" t="inlineStr">
        <is>
          <t>2026-08-04</t>
        </is>
      </c>
      <c r="F158" s="43" t="inlineStr">
        <is>
          <t>Unclear</t>
        </is>
      </c>
      <c r="G158" s="44" t="inlineStr">
        <is>
          <t>Transition</t>
        </is>
      </c>
      <c r="H158" s="44" t="inlineStr">
        <is>
          <t>LGR Transition</t>
        </is>
      </c>
      <c r="I158" s="44" t="inlineStr">
        <is>
          <t>https://assets.publishing.service.gov.uk/media/697cc7a7edc921ef1a245284/Local_Government_Reorganisation__LGR__Advisory_Group__November_6_2025.pdf</t>
        </is>
      </c>
      <c r="J158" s="43" t="inlineStr"/>
      <c r="K158" s="44" t="inlineStr"/>
      <c r="L158" s="44" t="inlineStr">
        <is>
          <t>cebb010c1e2ec0e1db39779bb8ed6a0a</t>
        </is>
      </c>
      <c r="M158" s="44" t="inlineStr"/>
    </row>
    <row r="159" ht="40" customHeight="1" s="28">
      <c r="A159" s="45" t="inlineStr">
        <is>
          <t>2026-08-04</t>
        </is>
      </c>
      <c r="B159" s="46" t="inlineStr">
        <is>
          <t>Local Government Reorganisation Advisory Group 4 December 2025</t>
        </is>
      </c>
      <c r="C159" s="46" t="inlineStr">
        <is>
          <t>GOV.UK</t>
        </is>
      </c>
      <c r="D159" s="46" t="inlineStr">
        <is>
          <t>Attachment</t>
        </is>
      </c>
      <c r="E159" s="45" t="inlineStr">
        <is>
          <t>2026-08-04</t>
        </is>
      </c>
      <c r="F159" s="45" t="inlineStr">
        <is>
          <t>Unclear</t>
        </is>
      </c>
      <c r="G159" s="46" t="inlineStr">
        <is>
          <t>Transition</t>
        </is>
      </c>
      <c r="H159" s="46" t="inlineStr">
        <is>
          <t>LGR Transition</t>
        </is>
      </c>
      <c r="I159" s="46" t="inlineStr">
        <is>
          <t>https://assets.publishing.service.gov.uk/media/697cc85f3915f7123658004d/Local_Government_Reorganisation_Advisory_Group_4_December_2025.pdf</t>
        </is>
      </c>
      <c r="J159" s="45" t="inlineStr"/>
      <c r="K159" s="46" t="inlineStr"/>
      <c r="L159" s="46" t="inlineStr">
        <is>
          <t>4bb6970b6bd45aa2abeaa1c1c99034f4</t>
        </is>
      </c>
      <c r="M159" s="46" t="inlineStr"/>
    </row>
    <row r="160" ht="40" customHeight="1" s="28">
      <c r="A160" s="43" t="inlineStr">
        <is>
          <t>2026-08-04</t>
        </is>
      </c>
      <c r="B160" s="44" t="inlineStr">
        <is>
          <t>Local Government Reorganisation Advisory Group 13 January 2026</t>
        </is>
      </c>
      <c r="C160" s="44" t="inlineStr">
        <is>
          <t>GOV.UK</t>
        </is>
      </c>
      <c r="D160" s="44" t="inlineStr">
        <is>
          <t>Attachment</t>
        </is>
      </c>
      <c r="E160" s="43" t="inlineStr">
        <is>
          <t>2026-08-04</t>
        </is>
      </c>
      <c r="F160" s="43" t="inlineStr">
        <is>
          <t>Unclear</t>
        </is>
      </c>
      <c r="G160" s="44" t="inlineStr">
        <is>
          <t>Transition</t>
        </is>
      </c>
      <c r="H160" s="44" t="inlineStr">
        <is>
          <t>LGR Transition</t>
        </is>
      </c>
      <c r="I160" s="44" t="inlineStr">
        <is>
          <t>https://assets.publishing.service.gov.uk/media/697cc95084f2153b11245288/Local_Government_Reorganisation_Advisory_Group_13_January_2026.pdf</t>
        </is>
      </c>
      <c r="J160" s="43" t="inlineStr"/>
      <c r="K160" s="44" t="inlineStr"/>
      <c r="L160" s="44" t="inlineStr">
        <is>
          <t>80d720500b4dd5ea7e56924c2f842b3e</t>
        </is>
      </c>
      <c r="M160" s="44" t="inlineStr"/>
    </row>
    <row r="161" ht="40" customHeight="1" s="28">
      <c r="A161" s="45" t="inlineStr">
        <is>
          <t>2026-08-04</t>
        </is>
      </c>
      <c r="B161" s="46" t="inlineStr">
        <is>
          <t>Local Government Reorganisation Advisory Group 12 February 2026</t>
        </is>
      </c>
      <c r="C161" s="46" t="inlineStr">
        <is>
          <t>GOV.UK</t>
        </is>
      </c>
      <c r="D161" s="46" t="inlineStr">
        <is>
          <t>Attachment</t>
        </is>
      </c>
      <c r="E161" s="45" t="inlineStr">
        <is>
          <t>2026-08-04</t>
        </is>
      </c>
      <c r="F161" s="45" t="inlineStr">
        <is>
          <t>Unclear</t>
        </is>
      </c>
      <c r="G161" s="46" t="inlineStr">
        <is>
          <t>Transition</t>
        </is>
      </c>
      <c r="H161" s="46" t="inlineStr">
        <is>
          <t>LGR Transition</t>
        </is>
      </c>
      <c r="I161" s="46" t="inlineStr">
        <is>
          <t>https://assets.publishing.service.gov.uk/media/699ecf713e672177d0bc762d/20260217_LGRAG_February_Meeting_Short_Summary__1_.pdf</t>
        </is>
      </c>
      <c r="J161" s="45" t="inlineStr"/>
      <c r="K161" s="46" t="inlineStr"/>
      <c r="L161" s="46" t="inlineStr">
        <is>
          <t>d39e13b8901cfd1bfa4a371e0f6b9047</t>
        </is>
      </c>
      <c r="M161" s="46" t="inlineStr"/>
    </row>
    <row r="162" ht="40" customHeight="1" s="28">
      <c r="A162" s="43" t="inlineStr">
        <is>
          <t>2026-08-04</t>
        </is>
      </c>
      <c r="B162" s="44" t="inlineStr">
        <is>
          <t>Local Government Reorganisation Advisory Group 18 March 2026</t>
        </is>
      </c>
      <c r="C162" s="44" t="inlineStr">
        <is>
          <t>GOV.UK</t>
        </is>
      </c>
      <c r="D162" s="44" t="inlineStr">
        <is>
          <t>Attachment</t>
        </is>
      </c>
      <c r="E162" s="43" t="inlineStr">
        <is>
          <t>2026-08-04</t>
        </is>
      </c>
      <c r="F162" s="43" t="inlineStr">
        <is>
          <t>Unclear</t>
        </is>
      </c>
      <c r="G162" s="44" t="inlineStr">
        <is>
          <t>Transition</t>
        </is>
      </c>
      <c r="H162" s="44" t="inlineStr">
        <is>
          <t>LGR Transition</t>
        </is>
      </c>
      <c r="I162" s="44" t="inlineStr">
        <is>
          <t>https://assets.publishing.service.gov.uk/media/69ccfcf1b5210036050bc5f1/Local_government_reorganisation_advisory_group_meeting_summary_18_March_2026.pdf</t>
        </is>
      </c>
      <c r="J162" s="43" t="inlineStr"/>
      <c r="K162" s="44" t="inlineStr"/>
      <c r="L162" s="44" t="inlineStr">
        <is>
          <t>3e06834ec6a43ab6c7fec9c70e0cf656</t>
        </is>
      </c>
      <c r="M162" s="44" t="inlineStr"/>
    </row>
    <row r="163" ht="40" customHeight="1" s="28">
      <c r="A163" s="45" t="inlineStr">
        <is>
          <t>2026-08-04</t>
        </is>
      </c>
      <c r="B163" s="46" t="inlineStr">
        <is>
          <t>Local Government Reorganisation (LGR) Advisory Group 16 April 2026</t>
        </is>
      </c>
      <c r="C163" s="46" t="inlineStr">
        <is>
          <t>GOV.UK</t>
        </is>
      </c>
      <c r="D163" s="46" t="inlineStr">
        <is>
          <t>Attachment</t>
        </is>
      </c>
      <c r="E163" s="45" t="inlineStr">
        <is>
          <t>2026-08-04</t>
        </is>
      </c>
      <c r="F163" s="45" t="inlineStr">
        <is>
          <t>Unclear</t>
        </is>
      </c>
      <c r="G163" s="46" t="inlineStr">
        <is>
          <t>Transition</t>
        </is>
      </c>
      <c r="H163" s="46" t="inlineStr">
        <is>
          <t>LGR Transition</t>
        </is>
      </c>
      <c r="I163" s="46" t="inlineStr">
        <is>
          <t>https://assets.publishing.service.gov.uk/media/69e8ca77d36883a64473b838/20260416_LGRAG_April_Meeting_Short_Summary_.pdf</t>
        </is>
      </c>
      <c r="J163" s="45" t="inlineStr"/>
      <c r="K163" s="46" t="inlineStr"/>
      <c r="L163" s="46" t="inlineStr">
        <is>
          <t>9704d74351bd5e684f579fb559388c20</t>
        </is>
      </c>
      <c r="M163" s="46" t="inlineStr"/>
    </row>
    <row r="164" ht="40" customHeight="1" s="28">
      <c r="A164" s="43" t="inlineStr">
        <is>
          <t>2026-08-04</t>
        </is>
      </c>
      <c r="B164" s="44" t="inlineStr">
        <is>
          <t>Local Government Reorganisation (LGR) Advisory Group 12 May 2026</t>
        </is>
      </c>
      <c r="C164" s="44" t="inlineStr">
        <is>
          <t>GOV.UK</t>
        </is>
      </c>
      <c r="D164" s="44" t="inlineStr">
        <is>
          <t>Attachment</t>
        </is>
      </c>
      <c r="E164" s="43" t="inlineStr">
        <is>
          <t>2026-08-04</t>
        </is>
      </c>
      <c r="F164" s="43" t="inlineStr">
        <is>
          <t>Unclear</t>
        </is>
      </c>
      <c r="G164" s="44" t="inlineStr">
        <is>
          <t>Transition</t>
        </is>
      </c>
      <c r="H164" s="44" t="inlineStr">
        <is>
          <t>LGR Transition</t>
        </is>
      </c>
      <c r="I164" s="44" t="inlineStr">
        <is>
          <t>https://assets.publishing.service.gov.uk/media/6a0c3c7afcae986635db919b/LGRAG_May_Meeting_Short_Summary.pdf</t>
        </is>
      </c>
      <c r="J164" s="43" t="inlineStr"/>
      <c r="K164" s="44" t="inlineStr"/>
      <c r="L164" s="44" t="inlineStr">
        <is>
          <t>9e825e676176ab3df7c2241d05e6708b</t>
        </is>
      </c>
      <c r="M164" s="44" t="inlineStr"/>
    </row>
    <row r="165" ht="40" customHeight="1" s="28">
      <c r="A165" s="45" t="inlineStr">
        <is>
          <t>2026-08-04</t>
        </is>
      </c>
      <c r="B165" s="46" t="inlineStr">
        <is>
          <t>Local Government Reorganisation (LGR) Advisory Group 11 June 2026</t>
        </is>
      </c>
      <c r="C165" s="46" t="inlineStr">
        <is>
          <t>GOV.UK</t>
        </is>
      </c>
      <c r="D165" s="46" t="inlineStr">
        <is>
          <t>Attachment</t>
        </is>
      </c>
      <c r="E165" s="45" t="inlineStr">
        <is>
          <t>2026-08-04</t>
        </is>
      </c>
      <c r="F165" s="45" t="inlineStr">
        <is>
          <t>Unclear</t>
        </is>
      </c>
      <c r="G165" s="46" t="inlineStr">
        <is>
          <t>Transition</t>
        </is>
      </c>
      <c r="H165" s="46" t="inlineStr">
        <is>
          <t>LGR Transition</t>
        </is>
      </c>
      <c r="I165" s="46" t="inlineStr">
        <is>
          <t>https://assets.publishing.service.gov.uk/media/6a621cbce2d191f0bc8b6de6/LGRAG_June_Meeting_Short_Summary.pdf</t>
        </is>
      </c>
      <c r="J165" s="45" t="inlineStr"/>
      <c r="K165" s="46" t="inlineStr"/>
      <c r="L165" s="46" t="inlineStr">
        <is>
          <t>f5b78258b271ad80e9922201c9792676</t>
        </is>
      </c>
      <c r="M165" s="46" t="inlineStr"/>
    </row>
    <row r="166" ht="40" customHeight="1" s="28">
      <c r="A166" s="43" t="inlineStr">
        <is>
          <t>2026-08-04</t>
        </is>
      </c>
      <c r="B166" s="44" t="inlineStr">
        <is>
          <t>Local Government Reorganisation (LGR) Advisory Group 23 July 2026</t>
        </is>
      </c>
      <c r="C166" s="44" t="inlineStr">
        <is>
          <t>GOV.UK</t>
        </is>
      </c>
      <c r="D166" s="44" t="inlineStr">
        <is>
          <t>Attachment</t>
        </is>
      </c>
      <c r="E166" s="43" t="inlineStr">
        <is>
          <t>2026-08-04</t>
        </is>
      </c>
      <c r="F166" s="43" t="inlineStr">
        <is>
          <t>Unclear</t>
        </is>
      </c>
      <c r="G166" s="44" t="inlineStr">
        <is>
          <t>Transition</t>
        </is>
      </c>
      <c r="H166" s="44" t="inlineStr">
        <is>
          <t>LGR Transition</t>
        </is>
      </c>
      <c r="I166" s="44" t="inlineStr">
        <is>
          <t>https://assets.publishing.service.gov.uk/media/6a71bbe9dc689ac736a4766e/Local_government_reorganisation_advisory_group_meeting_summary_23_July_2026.pdf</t>
        </is>
      </c>
      <c r="J166" s="43" t="inlineStr"/>
      <c r="K166" s="44" t="inlineStr"/>
      <c r="L166" s="44" t="inlineStr">
        <is>
          <t>b5a1bd87d323af69c2f074e01e1ae997</t>
        </is>
      </c>
      <c r="M166" s="44" t="inlineStr"/>
    </row>
    <row r="167" ht="40" customHeight="1" s="28">
      <c r="A167" s="45" t="inlineStr">
        <is>
          <t>2026-08-04</t>
        </is>
      </c>
      <c r="B167" s="46" t="inlineStr">
        <is>
          <t>Proposals for local government reorganisation in Nottinghamshire and Nottingham</t>
        </is>
      </c>
      <c r="C167" s="46" t="inlineStr">
        <is>
          <t>GOV.UK</t>
        </is>
      </c>
      <c r="D167" s="46" t="inlineStr">
        <is>
          <t>Attachment</t>
        </is>
      </c>
      <c r="E167" s="45" t="inlineStr">
        <is>
          <t>2026-07-22</t>
        </is>
      </c>
      <c r="F167" s="45" t="inlineStr">
        <is>
          <t>Yes</t>
        </is>
      </c>
      <c r="G167" s="46" t="inlineStr">
        <is>
          <t>Local, Transition</t>
        </is>
      </c>
      <c r="H167" s="46" t="inlineStr">
        <is>
          <t>LGR Transition</t>
        </is>
      </c>
      <c r="I167" s="46" t="inlineStr">
        <is>
          <t>/government/consultations/local-government-reorganisation-in-nottinghamshire-and-nottingham/proposals-for-local-government-reorganisation-in-nottinghamshire-and-nottingham</t>
        </is>
      </c>
      <c r="J167" s="45" t="inlineStr"/>
      <c r="K167" s="46" t="inlineStr"/>
      <c r="L167" s="46" t="inlineStr">
        <is>
          <t>1bc824c674f2b76bbd6ba50f18b5f21e</t>
        </is>
      </c>
      <c r="M167" s="46" t="inlineStr"/>
    </row>
    <row r="168" ht="40" customHeight="1" s="28">
      <c r="A168" s="43" t="inlineStr">
        <is>
          <t>2026-08-04</t>
        </is>
      </c>
      <c r="B168" s="44" t="inlineStr">
        <is>
          <t>Nottinghamshire and Nottingham: Summary and analysis of consultation responses</t>
        </is>
      </c>
      <c r="C168" s="44" t="inlineStr">
        <is>
          <t>GOV.UK</t>
        </is>
      </c>
      <c r="D168" s="44" t="inlineStr">
        <is>
          <t>Attachment</t>
        </is>
      </c>
      <c r="E168" s="43" t="inlineStr">
        <is>
          <t>2026-07-22</t>
        </is>
      </c>
      <c r="F168" s="43" t="inlineStr">
        <is>
          <t>Yes</t>
        </is>
      </c>
      <c r="G168" s="44" t="inlineStr">
        <is>
          <t>Local, Transition</t>
        </is>
      </c>
      <c r="H168" s="44" t="inlineStr">
        <is>
          <t>LGR Transition</t>
        </is>
      </c>
      <c r="I168" s="44" t="inlineStr">
        <is>
          <t>https://assets.publishing.service.gov.uk/media/6a60a25534dfb74772f96d06/Nottinghamshire_and_Nottingham_-_Summary_and_analysis_of_consultation_responses.pdf</t>
        </is>
      </c>
      <c r="J168" s="43" t="inlineStr"/>
      <c r="K168" s="44" t="inlineStr"/>
      <c r="L168" s="44" t="inlineStr">
        <is>
          <t>e221487734bf2a83726fb1c13475f6eb</t>
        </is>
      </c>
      <c r="M168" s="44" t="inlineStr"/>
    </row>
    <row r="169" ht="40" customHeight="1" s="28">
      <c r="A169" s="45" t="inlineStr">
        <is>
          <t>2026-08-04</t>
        </is>
      </c>
      <c r="B169" s="46" t="inlineStr">
        <is>
          <t>Local government reorganisation: implementation letter to Nottinghamshire and Nottingham chief executives</t>
        </is>
      </c>
      <c r="C169" s="46" t="inlineStr">
        <is>
          <t>GOV.UK</t>
        </is>
      </c>
      <c r="D169" s="46" t="inlineStr">
        <is>
          <t>Attachment</t>
        </is>
      </c>
      <c r="E169" s="45" t="inlineStr">
        <is>
          <t>2026-07-29</t>
        </is>
      </c>
      <c r="F169" s="45" t="inlineStr">
        <is>
          <t>Yes</t>
        </is>
      </c>
      <c r="G169" s="46" t="inlineStr">
        <is>
          <t>Local, Transition</t>
        </is>
      </c>
      <c r="H169" s="46" t="inlineStr">
        <is>
          <t>LGR Transition</t>
        </is>
      </c>
      <c r="I169" s="46" t="inlineStr">
        <is>
          <t>https://assets.publishing.service.gov.uk/media/6a6a10ada95350305084f78b/Local_government_reorganisation_-_implementation_letter_to_Nottinghamshire_and_Nottingham_chief_executives.pdf</t>
        </is>
      </c>
      <c r="J169" s="45" t="inlineStr"/>
      <c r="K169" s="46" t="inlineStr"/>
      <c r="L169" s="46" t="inlineStr">
        <is>
          <t>38f9b366fa9fcb3b82d7b0f9a3d54865</t>
        </is>
      </c>
      <c r="M169" s="46" t="inlineStr"/>
    </row>
    <row r="170" ht="40" customHeight="1" s="28">
      <c r="A170" s="43" t="inlineStr">
        <is>
          <t>2026-08-04</t>
        </is>
      </c>
      <c r="B170" s="44" t="inlineStr">
        <is>
          <t>Letter to Council Leaders</t>
        </is>
      </c>
      <c r="C170" s="44" t="inlineStr">
        <is>
          <t>GOV.UK</t>
        </is>
      </c>
      <c r="D170" s="44" t="inlineStr">
        <is>
          <t>Attachment</t>
        </is>
      </c>
      <c r="E170" s="43" t="inlineStr">
        <is>
          <t>2026-02-05</t>
        </is>
      </c>
      <c r="F170" s="43" t="inlineStr">
        <is>
          <t>Unclear</t>
        </is>
      </c>
      <c r="G170" s="44" t="inlineStr">
        <is>
          <t>Transition</t>
        </is>
      </c>
      <c r="H170" s="44" t="inlineStr">
        <is>
          <t>LGR Transition</t>
        </is>
      </c>
      <c r="I170" s="44" t="inlineStr">
        <is>
          <t>https://assets.publishing.service.gov.uk/media/69848c0f2df808759a7bd712/Letter_to_Council_Leaders_5_February_2026.pdf</t>
        </is>
      </c>
      <c r="J170" s="43" t="inlineStr"/>
      <c r="K170" s="44" t="inlineStr"/>
      <c r="L170" s="44" t="inlineStr">
        <is>
          <t>b8613cbf9ef267df427e650bf47b9cbd</t>
        </is>
      </c>
      <c r="M170" s="44" t="inlineStr"/>
    </row>
    <row r="171" ht="40" customHeight="1" s="28">
      <c r="A171" s="45" t="inlineStr">
        <is>
          <t>2026-08-04</t>
        </is>
      </c>
      <c r="B171" s="46" t="inlineStr">
        <is>
          <t>Local Audit Transition Plan</t>
        </is>
      </c>
      <c r="C171" s="46" t="inlineStr">
        <is>
          <t>GOV.UK</t>
        </is>
      </c>
      <c r="D171" s="46" t="inlineStr">
        <is>
          <t>Attachment</t>
        </is>
      </c>
      <c r="E171" s="45" t="inlineStr">
        <is>
          <t>2025-12-02</t>
        </is>
      </c>
      <c r="F171" s="45" t="inlineStr">
        <is>
          <t>Unclear</t>
        </is>
      </c>
      <c r="G171" s="46" t="inlineStr">
        <is>
          <t>Audit</t>
        </is>
      </c>
      <c r="H171" s="46" t="inlineStr">
        <is>
          <t>Other</t>
        </is>
      </c>
      <c r="I171" s="46" t="inlineStr">
        <is>
          <t>https://assets.publishing.service.gov.uk/media/6926f871345e31ab14ecf524/Local_Audit_Transition_Plan.pdf</t>
        </is>
      </c>
      <c r="J171" s="45" t="inlineStr">
        <is>
          <t>Yes</t>
        </is>
      </c>
      <c r="K171" s="46" t="inlineStr">
        <is>
          <t>REVIEWED: MHCLG, Nov 2025. Annex A carries the LAO milestone timeline. Corrects OB-A10 — PSAA contracts with audit firms extended to 2030, not 2027/28. Auditor appointment and contracting duties transfer to the LAO Spring 2027. Confirms the statutory audit committee requirement behind OB-A13 and the SoS power to issue statutory guidance behind A-029.</t>
        </is>
      </c>
      <c r="L171" s="46" t="inlineStr">
        <is>
          <t>ec93a5ad87c1fcbe3dfba567356b9f19</t>
        </is>
      </c>
      <c r="M171" s="46" t="inlineStr"/>
    </row>
    <row r="172" ht="40" customHeight="1" s="28">
      <c r="A172" s="43" t="inlineStr">
        <is>
          <t>2026-08-04</t>
        </is>
      </c>
      <c r="B172" s="44" t="inlineStr">
        <is>
          <t>Ministerial letter to audit firms</t>
        </is>
      </c>
      <c r="C172" s="44" t="inlineStr">
        <is>
          <t>GOV.UK</t>
        </is>
      </c>
      <c r="D172" s="44" t="inlineStr">
        <is>
          <t>Attachment</t>
        </is>
      </c>
      <c r="E172" s="43" t="inlineStr">
        <is>
          <t>2025-12-02</t>
        </is>
      </c>
      <c r="F172" s="43" t="inlineStr">
        <is>
          <t>Unclear</t>
        </is>
      </c>
      <c r="G172" s="44" t="inlineStr">
        <is>
          <t>Audit</t>
        </is>
      </c>
      <c r="H172" s="44" t="inlineStr">
        <is>
          <t>Other</t>
        </is>
      </c>
      <c r="I172" s="44" t="inlineStr">
        <is>
          <t>https://assets.publishing.service.gov.uk/media/692992bf9c1eda2cdf03429c/Ministerial_letter_to_local_audit_firms.pdf</t>
        </is>
      </c>
      <c r="J172" s="43" t="inlineStr"/>
      <c r="K172" s="44" t="inlineStr"/>
      <c r="L172" s="44" t="inlineStr">
        <is>
          <t>4b5a932c3b2d0c295d0e28fb608b6a10</t>
        </is>
      </c>
      <c r="M172" s="44" t="inlineStr"/>
    </row>
    <row r="173" ht="40" customHeight="1" s="28">
      <c r="A173" s="45" t="inlineStr">
        <is>
          <t>2026-08-04</t>
        </is>
      </c>
      <c r="B173" s="46" t="inlineStr">
        <is>
          <t>Ministerial letter to local bodies</t>
        </is>
      </c>
      <c r="C173" s="46" t="inlineStr">
        <is>
          <t>GOV.UK</t>
        </is>
      </c>
      <c r="D173" s="46" t="inlineStr">
        <is>
          <t>Attachment</t>
        </is>
      </c>
      <c r="E173" s="45" t="inlineStr">
        <is>
          <t>2025-12-02</t>
        </is>
      </c>
      <c r="F173" s="45" t="inlineStr">
        <is>
          <t>Unclear</t>
        </is>
      </c>
      <c r="G173" s="46" t="inlineStr">
        <is>
          <t>Audit</t>
        </is>
      </c>
      <c r="H173" s="46" t="inlineStr">
        <is>
          <t>Other</t>
        </is>
      </c>
      <c r="I173" s="46" t="inlineStr">
        <is>
          <t>https://assets.publishing.service.gov.uk/media/692992e6a245b0985f034280/Ministerial_letter_to_local_bodies.pdf</t>
        </is>
      </c>
      <c r="J173" s="45" t="inlineStr">
        <is>
          <t>Yes</t>
        </is>
      </c>
      <c r="K173" s="46" t="inlineStr">
        <is>
          <t>REVIEWED: Alison McGovern MP to Chief Executives, CFOs and Leaders, 27 Nov 2025. Asks authorities to permit their auditor to share the Auditor Annual Report and ISA 260 with MHCLG by 31 Mar 2026, and a capacity assessment by end Jul 2026 — BOTH DATES NOW PASSED, needs a retrospective check that NCC responded. Backstop for clearing disclaimers is 30 Nov 2028. No further build-back grant in 2025/26.</t>
        </is>
      </c>
      <c r="L173" s="46" t="inlineStr">
        <is>
          <t>2c4d9bf5ca20effcf72f58d6dd35b446</t>
        </is>
      </c>
      <c r="M173" s="46" t="inlineStr"/>
    </row>
    <row r="174" ht="40" customHeight="1" s="28">
      <c r="A174" s="43" t="inlineStr">
        <is>
          <t>2026-08-04</t>
        </is>
      </c>
      <c r="B174" s="44" t="inlineStr">
        <is>
          <t>Devolution Framework Explainer: Established Mayoral Strategic Authorities</t>
        </is>
      </c>
      <c r="C174" s="44" t="inlineStr">
        <is>
          <t>GOV.UK</t>
        </is>
      </c>
      <c r="D174" s="44" t="inlineStr">
        <is>
          <t>Attachment</t>
        </is>
      </c>
      <c r="E174" s="43" t="inlineStr">
        <is>
          <t>2026-06-08</t>
        </is>
      </c>
      <c r="F174" s="43" t="inlineStr">
        <is>
          <t>Unclear</t>
        </is>
      </c>
      <c r="G174" s="44" t="inlineStr">
        <is>
          <t>Transition</t>
        </is>
      </c>
      <c r="H174" s="44" t="inlineStr">
        <is>
          <t>LGR Transition</t>
        </is>
      </c>
      <c r="I174" s="44" t="inlineStr">
        <is>
          <t>https://assets.publishing.service.gov.uk/media/6a26d62c8e85b4e5346ac0e2/Devolution_Framework_Explainer_-_Established_Mayoral_Strategic_Authorities.pdf</t>
        </is>
      </c>
      <c r="J174" s="43" t="inlineStr"/>
      <c r="K174" s="44" t="inlineStr"/>
      <c r="L174" s="44" t="inlineStr">
        <is>
          <t>77f308678d96d12c59d3c6de5aee6058</t>
        </is>
      </c>
      <c r="M174" s="44" t="inlineStr"/>
    </row>
    <row r="175" ht="40" customHeight="1" s="28">
      <c r="A175" s="45" t="inlineStr">
        <is>
          <t>2026-08-04</t>
        </is>
      </c>
      <c r="B175" s="46" t="inlineStr">
        <is>
          <t>Devolution Framework Explainer: Mayoral Strategic Authorities</t>
        </is>
      </c>
      <c r="C175" s="46" t="inlineStr">
        <is>
          <t>GOV.UK</t>
        </is>
      </c>
      <c r="D175" s="46" t="inlineStr">
        <is>
          <t>Attachment</t>
        </is>
      </c>
      <c r="E175" s="45" t="inlineStr">
        <is>
          <t>2026-06-08</t>
        </is>
      </c>
      <c r="F175" s="45" t="inlineStr">
        <is>
          <t>Unclear</t>
        </is>
      </c>
      <c r="G175" s="46" t="inlineStr">
        <is>
          <t>Transition</t>
        </is>
      </c>
      <c r="H175" s="46" t="inlineStr">
        <is>
          <t>LGR Transition</t>
        </is>
      </c>
      <c r="I175" s="46" t="inlineStr">
        <is>
          <t>https://assets.publishing.service.gov.uk/media/6a26d63b56960b0542c0b1bf/Devolution_Framework_Explainer_-_Mayoral_Strategic_Authorities.pdf</t>
        </is>
      </c>
      <c r="J175" s="45" t="inlineStr"/>
      <c r="K175" s="46" t="inlineStr"/>
      <c r="L175" s="46" t="inlineStr">
        <is>
          <t>e949d04c576c4e340e3aa3380dfb1bf6</t>
        </is>
      </c>
      <c r="M175" s="46" t="inlineStr"/>
    </row>
    <row r="176" ht="40" customHeight="1" s="28">
      <c r="A176" s="43" t="inlineStr">
        <is>
          <t>2026-08-04</t>
        </is>
      </c>
      <c r="B176" s="44" t="inlineStr">
        <is>
          <t>Devolution Framework Explainer: Non-Mayoral Foundation Strategic Authorities</t>
        </is>
      </c>
      <c r="C176" s="44" t="inlineStr">
        <is>
          <t>GOV.UK</t>
        </is>
      </c>
      <c r="D176" s="44" t="inlineStr">
        <is>
          <t>Attachment</t>
        </is>
      </c>
      <c r="E176" s="43" t="inlineStr">
        <is>
          <t>2026-06-08</t>
        </is>
      </c>
      <c r="F176" s="43" t="inlineStr">
        <is>
          <t>Unclear</t>
        </is>
      </c>
      <c r="G176" s="44" t="inlineStr">
        <is>
          <t>Transition</t>
        </is>
      </c>
      <c r="H176" s="44" t="inlineStr">
        <is>
          <t>LGR Transition</t>
        </is>
      </c>
      <c r="I176" s="44" t="inlineStr">
        <is>
          <t>https://assets.publishing.service.gov.uk/media/6a26d6498e85b4e5346ac0e3/Devolution_Framework_Explainer_-_Non-Mayoral_Foundation_Strategic_Authorities.pdf</t>
        </is>
      </c>
      <c r="J176" s="43" t="inlineStr"/>
      <c r="K176" s="44" t="inlineStr"/>
      <c r="L176" s="44" t="inlineStr">
        <is>
          <t>63ea6abaf72e003caaa30e6bc86885dc</t>
        </is>
      </c>
      <c r="M176" s="44" t="inlineStr"/>
    </row>
    <row r="177" ht="40" customHeight="1" s="28">
      <c r="A177" s="45" t="inlineStr">
        <is>
          <t>2026-08-04</t>
        </is>
      </c>
      <c r="B177" s="46" t="inlineStr">
        <is>
          <t>Devolution Framework Explainer: Single Local Authority Foundation Strategic Authorities</t>
        </is>
      </c>
      <c r="C177" s="46" t="inlineStr">
        <is>
          <t>GOV.UK</t>
        </is>
      </c>
      <c r="D177" s="46" t="inlineStr">
        <is>
          <t>Attachment</t>
        </is>
      </c>
      <c r="E177" s="45" t="inlineStr">
        <is>
          <t>2026-06-08</t>
        </is>
      </c>
      <c r="F177" s="45" t="inlineStr">
        <is>
          <t>Unclear</t>
        </is>
      </c>
      <c r="G177" s="46" t="inlineStr">
        <is>
          <t>Transition</t>
        </is>
      </c>
      <c r="H177" s="46" t="inlineStr">
        <is>
          <t>LGR Transition</t>
        </is>
      </c>
      <c r="I177" s="46" t="inlineStr">
        <is>
          <t>https://assets.publishing.service.gov.uk/media/6a26d657f56856fd11c0b19a/Devolution_Framework_Explainer_-_Single_Local_Authority_Foundation_Strategic_Authorities.pdf</t>
        </is>
      </c>
      <c r="J177" s="45" t="inlineStr"/>
      <c r="K177" s="46" t="inlineStr"/>
      <c r="L177" s="46" t="inlineStr">
        <is>
          <t>52d602a87f08289fc5d853450f09deb5</t>
        </is>
      </c>
      <c r="M177" s="46" t="inlineStr"/>
    </row>
    <row r="178" ht="40" customHeight="1" s="28">
      <c r="A178" s="43" t="inlineStr">
        <is>
          <t>2026-08-04</t>
        </is>
      </c>
      <c r="B178" s="44" t="inlineStr">
        <is>
          <t>Nottingham City Council: Letter to Council Leader (15 July 2026)</t>
        </is>
      </c>
      <c r="C178" s="44" t="inlineStr">
        <is>
          <t>GOV.UK</t>
        </is>
      </c>
      <c r="D178" s="44" t="inlineStr">
        <is>
          <t>Attachment</t>
        </is>
      </c>
      <c r="E178" s="43" t="inlineStr">
        <is>
          <t>2026-07-15</t>
        </is>
      </c>
      <c r="F178" s="43" t="inlineStr">
        <is>
          <t>Unclear</t>
        </is>
      </c>
      <c r="G178" s="44" t="inlineStr">
        <is>
          <t>Local</t>
        </is>
      </c>
      <c r="H178" s="44" t="inlineStr">
        <is>
          <t>Other</t>
        </is>
      </c>
      <c r="I178" s="44" t="inlineStr">
        <is>
          <t>https://assets.publishing.service.gov.uk/media/6a5759d19e631544544136cd/Nottingham_Minister_letter_to_Leader_of_the_Council_-_July_2026.pdf</t>
        </is>
      </c>
      <c r="J178" s="43" t="inlineStr"/>
      <c r="K178" s="44" t="inlineStr"/>
      <c r="L178" s="44" t="inlineStr">
        <is>
          <t>7a5f34b199f0d96f9b51d9efcd859604</t>
        </is>
      </c>
      <c r="M178" s="44" t="inlineStr"/>
    </row>
    <row r="179" ht="40" customHeight="1" s="28">
      <c r="A179" s="45" t="inlineStr">
        <is>
          <t>2026-08-04</t>
        </is>
      </c>
      <c r="B179" s="46" t="inlineStr">
        <is>
          <t>Nottingham City Council: Ministerial Envoy appointment letter (15 July 2026)</t>
        </is>
      </c>
      <c r="C179" s="46" t="inlineStr">
        <is>
          <t>GOV.UK</t>
        </is>
      </c>
      <c r="D179" s="46" t="inlineStr">
        <is>
          <t>Attachment</t>
        </is>
      </c>
      <c r="E179" s="45" t="inlineStr">
        <is>
          <t>2026-07-15</t>
        </is>
      </c>
      <c r="F179" s="45" t="inlineStr">
        <is>
          <t>Yes</t>
        </is>
      </c>
      <c r="G179" s="46" t="inlineStr">
        <is>
          <t>Local, Intervention</t>
        </is>
      </c>
      <c r="H179" s="46" t="inlineStr">
        <is>
          <t>Governance and Transparency</t>
        </is>
      </c>
      <c r="I179" s="46" t="inlineStr">
        <is>
          <t>https://assets.publishing.service.gov.uk/media/6a574b882cbe5d1c179a6500/Sir_Steve_Houghton_Nottingham_appointment_letter_-_July_2026.pdf</t>
        </is>
      </c>
      <c r="J179" s="45" t="inlineStr"/>
      <c r="K179" s="46" t="inlineStr"/>
      <c r="L179" s="46" t="inlineStr">
        <is>
          <t>2a0b875692191cb25f4eeda0d92f644e</t>
        </is>
      </c>
      <c r="M179" s="46" t="inlineStr"/>
    </row>
    <row r="180" ht="40" customHeight="1" s="28">
      <c r="A180" s="43" t="inlineStr">
        <is>
          <t>2026-08-04</t>
        </is>
      </c>
      <c r="B180" s="44" t="inlineStr">
        <is>
          <t>Nottingham City Council: Letter to Chief Executive (24 March 2026)</t>
        </is>
      </c>
      <c r="C180" s="44" t="inlineStr">
        <is>
          <t>GOV.UK</t>
        </is>
      </c>
      <c r="D180" s="44" t="inlineStr">
        <is>
          <t>Attachment</t>
        </is>
      </c>
      <c r="E180" s="43" t="inlineStr">
        <is>
          <t>2026-03-24</t>
        </is>
      </c>
      <c r="F180" s="43" t="inlineStr">
        <is>
          <t>Unclear</t>
        </is>
      </c>
      <c r="G180" s="44" t="inlineStr">
        <is>
          <t>Local</t>
        </is>
      </c>
      <c r="H180" s="44" t="inlineStr">
        <is>
          <t>Other</t>
        </is>
      </c>
      <c r="I180" s="44" t="inlineStr">
        <is>
          <t>https://assets.publishing.service.gov.uk/media/69c14cedbb0dfe55b83e4ba4/Nottingham_James_Blythe_Letter_to_Chief_Executive.pdf</t>
        </is>
      </c>
      <c r="J180" s="43" t="inlineStr"/>
      <c r="K180" s="44" t="inlineStr"/>
      <c r="L180" s="44" t="inlineStr">
        <is>
          <t>8f1247a4f902928d0ea99043bb50d75d</t>
        </is>
      </c>
      <c r="M180" s="44" t="inlineStr"/>
    </row>
    <row r="181" ht="40" customHeight="1" s="28">
      <c r="A181" s="45" t="inlineStr">
        <is>
          <t>2026-08-04</t>
        </is>
      </c>
      <c r="B181" s="46" t="inlineStr">
        <is>
          <t>Nottingham City Council: Ministerial Envoy appointment letter</t>
        </is>
      </c>
      <c r="C181" s="46" t="inlineStr">
        <is>
          <t>GOV.UK</t>
        </is>
      </c>
      <c r="D181" s="46" t="inlineStr">
        <is>
          <t>Attachment</t>
        </is>
      </c>
      <c r="E181" s="45" t="inlineStr">
        <is>
          <t>2026-03-24</t>
        </is>
      </c>
      <c r="F181" s="45" t="inlineStr">
        <is>
          <t>Yes</t>
        </is>
      </c>
      <c r="G181" s="46" t="inlineStr">
        <is>
          <t>Local, Intervention</t>
        </is>
      </c>
      <c r="H181" s="46" t="inlineStr">
        <is>
          <t>Governance and Transparency</t>
        </is>
      </c>
      <c r="I181" s="46" t="inlineStr">
        <is>
          <t>https://assets.publishing.service.gov.uk/media/69c14b1313101e9908704a8a/James_Blythe_Appointment_Letter_to_Sharon_Kemp.pdf</t>
        </is>
      </c>
      <c r="J181" s="45" t="inlineStr"/>
      <c r="K181" s="46" t="inlineStr"/>
      <c r="L181" s="46" t="inlineStr">
        <is>
          <t>9e7e04afa0f983c1a329b728d25fe631</t>
        </is>
      </c>
      <c r="M181" s="46" t="inlineStr"/>
    </row>
    <row r="182" ht="40" customHeight="1" s="28">
      <c r="A182" s="43" t="inlineStr">
        <is>
          <t>2026-08-04</t>
        </is>
      </c>
      <c r="B182" s="44" t="inlineStr">
        <is>
          <t>Nottingham City Council: Letter to former Commissioners (24 March 2026)</t>
        </is>
      </c>
      <c r="C182" s="44" t="inlineStr">
        <is>
          <t>GOV.UK</t>
        </is>
      </c>
      <c r="D182" s="44" t="inlineStr">
        <is>
          <t>Attachment</t>
        </is>
      </c>
      <c r="E182" s="43" t="inlineStr">
        <is>
          <t>2026-03-24</t>
        </is>
      </c>
      <c r="F182" s="43" t="inlineStr">
        <is>
          <t>Yes</t>
        </is>
      </c>
      <c r="G182" s="44" t="inlineStr">
        <is>
          <t>Local, Intervention</t>
        </is>
      </c>
      <c r="H182" s="44" t="inlineStr">
        <is>
          <t>Governance and Transparency</t>
        </is>
      </c>
      <c r="I182" s="44" t="inlineStr">
        <is>
          <t>https://assets.publishing.service.gov.uk/media/69c147fa13101e9908704a86/Minister_Letter_to_Notts_Commissioners.pdf</t>
        </is>
      </c>
      <c r="J182" s="43" t="inlineStr"/>
      <c r="K182" s="44" t="inlineStr"/>
      <c r="L182" s="44" t="inlineStr">
        <is>
          <t>3aed4ba5a6cae16a7bdc7ca1fc2d756f</t>
        </is>
      </c>
      <c r="M182" s="44" t="inlineStr"/>
    </row>
    <row r="183" ht="40" customHeight="1" s="28">
      <c r="A183" s="45" t="inlineStr">
        <is>
          <t>2026-08-04</t>
        </is>
      </c>
      <c r="B183" s="46" t="inlineStr">
        <is>
          <t>Nottingham City Council: Directions made under the Local Government Act 1999 (24 March 2026)</t>
        </is>
      </c>
      <c r="C183" s="46" t="inlineStr">
        <is>
          <t>GOV.UK</t>
        </is>
      </c>
      <c r="D183" s="46" t="inlineStr">
        <is>
          <t>Attachment</t>
        </is>
      </c>
      <c r="E183" s="45" t="inlineStr">
        <is>
          <t>2026-03-24</t>
        </is>
      </c>
      <c r="F183" s="45" t="inlineStr">
        <is>
          <t>Unclear</t>
        </is>
      </c>
      <c r="G183" s="46" t="inlineStr">
        <is>
          <t>Local</t>
        </is>
      </c>
      <c r="H183" s="46" t="inlineStr">
        <is>
          <t>Other</t>
        </is>
      </c>
      <c r="I183" s="46" t="inlineStr">
        <is>
          <t>https://assets.publishing.service.gov.uk/media/69c1756913101e9908704ada/Nottingham_Directions.pdf</t>
        </is>
      </c>
      <c r="J183" s="45" t="inlineStr"/>
      <c r="K183" s="46" t="inlineStr"/>
      <c r="L183" s="46" t="inlineStr">
        <is>
          <t>745a507f92aa4f20356c24d9fddbbcec</t>
        </is>
      </c>
      <c r="M183" s="46" t="inlineStr"/>
    </row>
    <row r="184" ht="40" customHeight="1" s="28">
      <c r="A184" s="43" t="inlineStr">
        <is>
          <t>2026-08-04</t>
        </is>
      </c>
      <c r="B184" s="44" t="inlineStr">
        <is>
          <t>Nottingham City Council: Explanatory Memorandum (24 March 2026)</t>
        </is>
      </c>
      <c r="C184" s="44" t="inlineStr">
        <is>
          <t>GOV.UK</t>
        </is>
      </c>
      <c r="D184" s="44" t="inlineStr">
        <is>
          <t>Attachment</t>
        </is>
      </c>
      <c r="E184" s="43" t="inlineStr">
        <is>
          <t>2026-03-24</t>
        </is>
      </c>
      <c r="F184" s="43" t="inlineStr">
        <is>
          <t>Unclear</t>
        </is>
      </c>
      <c r="G184" s="44" t="inlineStr">
        <is>
          <t>Local</t>
        </is>
      </c>
      <c r="H184" s="44" t="inlineStr">
        <is>
          <t>Other</t>
        </is>
      </c>
      <c r="I184" s="44" t="inlineStr">
        <is>
          <t>https://assets.publishing.service.gov.uk/media/69c174e813101e9908704ad9/Nottingham_Explanatory_Memorandum.pdf</t>
        </is>
      </c>
      <c r="J184" s="43" t="inlineStr"/>
      <c r="K184" s="44" t="inlineStr"/>
      <c r="L184" s="44" t="inlineStr">
        <is>
          <t>c384fde51b1381f329d636a0e05ba995</t>
        </is>
      </c>
      <c r="M184" s="44" t="inlineStr"/>
    </row>
    <row r="185" ht="40" customHeight="1" s="28">
      <c r="A185" s="45" t="inlineStr">
        <is>
          <t>2026-08-04</t>
        </is>
      </c>
      <c r="B185" s="46" t="inlineStr">
        <is>
          <t>Nottingham City Council: Representation (24 March 2026)</t>
        </is>
      </c>
      <c r="C185" s="46" t="inlineStr">
        <is>
          <t>GOV.UK</t>
        </is>
      </c>
      <c r="D185" s="46" t="inlineStr">
        <is>
          <t>Attachment</t>
        </is>
      </c>
      <c r="E185" s="45" t="inlineStr">
        <is>
          <t>2026-03-24</t>
        </is>
      </c>
      <c r="F185" s="45" t="inlineStr">
        <is>
          <t>Unclear</t>
        </is>
      </c>
      <c r="G185" s="46" t="inlineStr">
        <is>
          <t>Local</t>
        </is>
      </c>
      <c r="H185" s="46" t="inlineStr">
        <is>
          <t>Other</t>
        </is>
      </c>
      <c r="I185" s="46" t="inlineStr">
        <is>
          <t>https://assets.publishing.service.gov.uk/media/69c14e22bb0dfe55b83e4bab/Nottingham_City_Council_Representation_260211.pdf</t>
        </is>
      </c>
      <c r="J185" s="45" t="inlineStr"/>
      <c r="K185" s="46" t="inlineStr"/>
      <c r="L185" s="46" t="inlineStr">
        <is>
          <t>c060c252e02f39bab3c0aedae03b29fa</t>
        </is>
      </c>
      <c r="M185" s="46" t="inlineStr"/>
    </row>
    <row r="186" ht="40" customHeight="1" s="28">
      <c r="A186" s="43" t="inlineStr">
        <is>
          <t>2026-08-04</t>
        </is>
      </c>
      <c r="B186" s="44" t="inlineStr">
        <is>
          <t>Nottingham City Council: Letter to the Chief Executive (4 February 2026)</t>
        </is>
      </c>
      <c r="C186" s="44" t="inlineStr">
        <is>
          <t>GOV.UK</t>
        </is>
      </c>
      <c r="D186" s="44" t="inlineStr">
        <is>
          <t>Attachment</t>
        </is>
      </c>
      <c r="E186" s="43" t="inlineStr">
        <is>
          <t>2026-02-04</t>
        </is>
      </c>
      <c r="F186" s="43" t="inlineStr">
        <is>
          <t>Unclear</t>
        </is>
      </c>
      <c r="G186" s="44" t="inlineStr">
        <is>
          <t>Local</t>
        </is>
      </c>
      <c r="H186" s="44" t="inlineStr">
        <is>
          <t>Other</t>
        </is>
      </c>
      <c r="I186" s="44" t="inlineStr">
        <is>
          <t>https://assets.publishing.service.gov.uk/media/6981aa11f0e5cf1ed2612e50/Letter_to_Nottingham_Chief_Executive.pdf</t>
        </is>
      </c>
      <c r="J186" s="43" t="inlineStr"/>
      <c r="K186" s="44" t="inlineStr"/>
      <c r="L186" s="44" t="inlineStr">
        <is>
          <t>8b487dcc8f1b251da1feaf064d9ae38d</t>
        </is>
      </c>
      <c r="M186" s="44" t="inlineStr"/>
    </row>
    <row r="187" ht="40" customHeight="1" s="28">
      <c r="A187" s="45" t="inlineStr">
        <is>
          <t>2026-08-04</t>
        </is>
      </c>
      <c r="B187" s="46" t="inlineStr">
        <is>
          <t>Nottingham City Council: Ministerial response to the Commissioners’ fourth report</t>
        </is>
      </c>
      <c r="C187" s="46" t="inlineStr">
        <is>
          <t>GOV.UK</t>
        </is>
      </c>
      <c r="D187" s="46" t="inlineStr">
        <is>
          <t>Attachment</t>
        </is>
      </c>
      <c r="E187" s="45" t="inlineStr">
        <is>
          <t>2026-02-04</t>
        </is>
      </c>
      <c r="F187" s="45" t="inlineStr">
        <is>
          <t>Yes</t>
        </is>
      </c>
      <c r="G187" s="46" t="inlineStr">
        <is>
          <t>Local, Intervention</t>
        </is>
      </c>
      <c r="H187" s="46" t="inlineStr">
        <is>
          <t>Governance and Transparency</t>
        </is>
      </c>
      <c r="I187" s="46" t="inlineStr">
        <is>
          <t>https://assets.publishing.service.gov.uk/media/6981a8e23915f71236580144/Minister_Response_to_Commissioners_Report.pdf</t>
        </is>
      </c>
      <c r="J187" s="45" t="inlineStr"/>
      <c r="K187" s="46" t="inlineStr"/>
      <c r="L187" s="46" t="inlineStr">
        <is>
          <t>eea4d6fa6a936f82df1a43a3db214be6</t>
        </is>
      </c>
      <c r="M187" s="46" t="inlineStr"/>
    </row>
    <row r="188" ht="40" customHeight="1" s="28">
      <c r="A188" s="43" t="inlineStr">
        <is>
          <t>2026-08-04</t>
        </is>
      </c>
      <c r="B188" s="44" t="inlineStr">
        <is>
          <t>Nottingham City Council: Commissioners’ fourth report</t>
        </is>
      </c>
      <c r="C188" s="44" t="inlineStr">
        <is>
          <t>GOV.UK</t>
        </is>
      </c>
      <c r="D188" s="44" t="inlineStr">
        <is>
          <t>Attachment</t>
        </is>
      </c>
      <c r="E188" s="43" t="inlineStr">
        <is>
          <t>2026-02-04</t>
        </is>
      </c>
      <c r="F188" s="43" t="inlineStr">
        <is>
          <t>Yes</t>
        </is>
      </c>
      <c r="G188" s="44" t="inlineStr">
        <is>
          <t>Local, Intervention</t>
        </is>
      </c>
      <c r="H188" s="44" t="inlineStr">
        <is>
          <t>Governance and Transparency</t>
        </is>
      </c>
      <c r="I188" s="44" t="inlineStr">
        <is>
          <t>https://assets.publishing.service.gov.uk/media/6981a50584f2153b11245387/Fourth_Report_Nottingham_City_Council_Commissioners__-_5_Dec_2025.pdf</t>
        </is>
      </c>
      <c r="J188" s="43" t="inlineStr"/>
      <c r="K188" s="44" t="inlineStr"/>
      <c r="L188" s="44" t="inlineStr">
        <is>
          <t>e1b0a957888f453ec83abfcd05e8cf74</t>
        </is>
      </c>
      <c r="M188" s="44" t="inlineStr"/>
    </row>
    <row r="189" ht="40" customHeight="1" s="28">
      <c r="A189" s="45" t="inlineStr">
        <is>
          <t>2026-08-04</t>
        </is>
      </c>
      <c r="B189" s="46" t="inlineStr">
        <is>
          <t>Nottingham City Council: Explanatory Memorandum (updated 21 November 2025)</t>
        </is>
      </c>
      <c r="C189" s="46" t="inlineStr">
        <is>
          <t>GOV.UK</t>
        </is>
      </c>
      <c r="D189" s="46" t="inlineStr">
        <is>
          <t>Attachment</t>
        </is>
      </c>
      <c r="E189" s="45" t="inlineStr">
        <is>
          <t>2025-11-21</t>
        </is>
      </c>
      <c r="F189" s="45" t="inlineStr">
        <is>
          <t>Unclear</t>
        </is>
      </c>
      <c r="G189" s="46" t="inlineStr">
        <is>
          <t>Local</t>
        </is>
      </c>
      <c r="H189" s="46" t="inlineStr">
        <is>
          <t>Other</t>
        </is>
      </c>
      <c r="I189" s="46" t="inlineStr">
        <is>
          <t>https://assets.publishing.service.gov.uk/media/691da521d140bbbaa59a2a0a/Updated_Explanatory_Memorandum_-_Nottingham.pdf</t>
        </is>
      </c>
      <c r="J189" s="45" t="inlineStr"/>
      <c r="K189" s="46" t="inlineStr"/>
      <c r="L189" s="46" t="inlineStr">
        <is>
          <t>137eb83be5e8155978a7591feec4fc7b</t>
        </is>
      </c>
      <c r="M189" s="46" t="inlineStr"/>
    </row>
    <row r="190" ht="40" customHeight="1" s="28">
      <c r="A190" s="43" t="inlineStr">
        <is>
          <t>2026-08-04</t>
        </is>
      </c>
      <c r="B190" s="44" t="inlineStr">
        <is>
          <t>Nottingham City Council: Lead Commissioner appointment letter (Sharon Kemp)</t>
        </is>
      </c>
      <c r="C190" s="44" t="inlineStr">
        <is>
          <t>GOV.UK</t>
        </is>
      </c>
      <c r="D190" s="44" t="inlineStr">
        <is>
          <t>Attachment</t>
        </is>
      </c>
      <c r="E190" s="43" t="inlineStr">
        <is>
          <t>2025-11-21</t>
        </is>
      </c>
      <c r="F190" s="43" t="inlineStr">
        <is>
          <t>Yes</t>
        </is>
      </c>
      <c r="G190" s="44" t="inlineStr">
        <is>
          <t>Local, Intervention</t>
        </is>
      </c>
      <c r="H190" s="44" t="inlineStr">
        <is>
          <t>Governance and Transparency</t>
        </is>
      </c>
      <c r="I190" s="44" t="inlineStr">
        <is>
          <t>https://assets.publishing.service.gov.uk/media/691da2e4e39a085bda43ef63/Sharon_Kemp_Nottingham_Appointment_Letter.pdf</t>
        </is>
      </c>
      <c r="J190" s="43" t="inlineStr"/>
      <c r="K190" s="44" t="inlineStr"/>
      <c r="L190" s="44" t="inlineStr">
        <is>
          <t>8e2cce2075f077f6175a910e08201bbc</t>
        </is>
      </c>
      <c r="M190" s="44" t="inlineStr"/>
    </row>
    <row r="191" ht="40" customHeight="1" s="28">
      <c r="A191" s="45" t="inlineStr">
        <is>
          <t>2026-08-04</t>
        </is>
      </c>
      <c r="B191" s="46" t="inlineStr">
        <is>
          <t>Nottingham City Council: Commissioner appointment letter (Tony McArdle)</t>
        </is>
      </c>
      <c r="C191" s="46" t="inlineStr">
        <is>
          <t>GOV.UK</t>
        </is>
      </c>
      <c r="D191" s="46" t="inlineStr">
        <is>
          <t>Attachment</t>
        </is>
      </c>
      <c r="E191" s="45" t="inlineStr">
        <is>
          <t>2025-11-21</t>
        </is>
      </c>
      <c r="F191" s="45" t="inlineStr">
        <is>
          <t>Yes</t>
        </is>
      </c>
      <c r="G191" s="46" t="inlineStr">
        <is>
          <t>Local, Intervention</t>
        </is>
      </c>
      <c r="H191" s="46" t="inlineStr">
        <is>
          <t>Governance and Transparency</t>
        </is>
      </c>
      <c r="I191" s="46" t="inlineStr">
        <is>
          <t>https://assets.publishing.service.gov.uk/media/691da36a513046b952c50044/Tony_McArdle_Nottingham_Appointment_Letter.pdf</t>
        </is>
      </c>
      <c r="J191" s="45" t="inlineStr"/>
      <c r="K191" s="46" t="inlineStr"/>
      <c r="L191" s="46" t="inlineStr">
        <is>
          <t>09e9a5aa3a1f1401eabe7427cc9b47a1</t>
        </is>
      </c>
      <c r="M191" s="46" t="inlineStr"/>
    </row>
    <row r="192" ht="40" customHeight="1" s="28">
      <c r="A192" s="43" t="inlineStr">
        <is>
          <t>2026-08-04</t>
        </is>
      </c>
      <c r="B192" s="44" t="inlineStr">
        <is>
          <t>Nottingham City Council: Ministerial response to the Commissioners’ third report</t>
        </is>
      </c>
      <c r="C192" s="44" t="inlineStr">
        <is>
          <t>GOV.UK</t>
        </is>
      </c>
      <c r="D192" s="44" t="inlineStr">
        <is>
          <t>Attachment</t>
        </is>
      </c>
      <c r="E192" s="43" t="inlineStr">
        <is>
          <t>2025-11-21</t>
        </is>
      </c>
      <c r="F192" s="43" t="inlineStr">
        <is>
          <t>Yes</t>
        </is>
      </c>
      <c r="G192" s="44" t="inlineStr">
        <is>
          <t>Local, Intervention</t>
        </is>
      </c>
      <c r="H192" s="44" t="inlineStr">
        <is>
          <t>Governance and Transparency</t>
        </is>
      </c>
      <c r="I192" s="44" t="inlineStr">
        <is>
          <t>https://assets.publishing.service.gov.uk/media/691da11b0dcbf6343e9a29f9/Minister_McGovern_Response_to_Nottingham_Commissioners.pdf</t>
        </is>
      </c>
      <c r="J192" s="43" t="inlineStr"/>
      <c r="K192" s="44" t="inlineStr"/>
      <c r="L192" s="44" t="inlineStr">
        <is>
          <t>2fba4d086038d9207621361c8eec0240</t>
        </is>
      </c>
      <c r="M192" s="44" t="inlineStr"/>
    </row>
    <row r="193" ht="40" customHeight="1" s="28">
      <c r="A193" s="45" t="inlineStr">
        <is>
          <t>2026-08-04</t>
        </is>
      </c>
      <c r="B193" s="46" t="inlineStr">
        <is>
          <t>Nottingham City Council: Commissioners’ third report</t>
        </is>
      </c>
      <c r="C193" s="46" t="inlineStr">
        <is>
          <t>GOV.UK</t>
        </is>
      </c>
      <c r="D193" s="46" t="inlineStr">
        <is>
          <t>Attachment</t>
        </is>
      </c>
      <c r="E193" s="45" t="inlineStr">
        <is>
          <t>2025-11-21</t>
        </is>
      </c>
      <c r="F193" s="45" t="inlineStr">
        <is>
          <t>Yes</t>
        </is>
      </c>
      <c r="G193" s="46" t="inlineStr">
        <is>
          <t>Local, Intervention</t>
        </is>
      </c>
      <c r="H193" s="46" t="inlineStr">
        <is>
          <t>Governance and Transparency</t>
        </is>
      </c>
      <c r="I193" s="46" t="inlineStr">
        <is>
          <t>https://assets.publishing.service.gov.uk/media/691d9f760dcbf6343e9a29ec/Nottingham_Commissioners__third_report.pdf</t>
        </is>
      </c>
      <c r="J193" s="45" t="inlineStr"/>
      <c r="K193" s="46" t="inlineStr"/>
      <c r="L193" s="46" t="inlineStr">
        <is>
          <t>f6b056283dee623a67765d5057e64e29</t>
        </is>
      </c>
      <c r="M193" s="46" t="inlineStr"/>
    </row>
    <row r="194" ht="40" customHeight="1" s="28">
      <c r="A194" s="43" t="inlineStr">
        <is>
          <t>2026-08-04</t>
        </is>
      </c>
      <c r="B194" s="44" t="inlineStr">
        <is>
          <t>Nottingham City Council: Ministerial response to the Commissioners’ second report</t>
        </is>
      </c>
      <c r="C194" s="44" t="inlineStr">
        <is>
          <t>GOV.UK</t>
        </is>
      </c>
      <c r="D194" s="44" t="inlineStr">
        <is>
          <t>Attachment</t>
        </is>
      </c>
      <c r="E194" s="43" t="inlineStr">
        <is>
          <t>2025-05-08</t>
        </is>
      </c>
      <c r="F194" s="43" t="inlineStr">
        <is>
          <t>Yes</t>
        </is>
      </c>
      <c r="G194" s="44" t="inlineStr">
        <is>
          <t>Local, Intervention</t>
        </is>
      </c>
      <c r="H194" s="44" t="inlineStr">
        <is>
          <t>Governance and Transparency</t>
        </is>
      </c>
      <c r="I194" s="44" t="inlineStr">
        <is>
          <t>https://assets.publishing.service.gov.uk/media/681b71ad275cb67b18d87031/Nottingham_-_BT_Letter_to_Commissioners.pdf</t>
        </is>
      </c>
      <c r="J194" s="43" t="inlineStr"/>
      <c r="K194" s="44" t="inlineStr"/>
      <c r="L194" s="44" t="inlineStr">
        <is>
          <t>622a9cd39d604a8a09d1df3803e58987</t>
        </is>
      </c>
      <c r="M194" s="44" t="inlineStr"/>
    </row>
    <row r="195" ht="40" customHeight="1" s="28">
      <c r="A195" s="45" t="inlineStr">
        <is>
          <t>2026-08-04</t>
        </is>
      </c>
      <c r="B195" s="46" t="inlineStr">
        <is>
          <t>Nottingham City Council: Commissioners’ second report</t>
        </is>
      </c>
      <c r="C195" s="46" t="inlineStr">
        <is>
          <t>GOV.UK</t>
        </is>
      </c>
      <c r="D195" s="46" t="inlineStr">
        <is>
          <t>Attachment</t>
        </is>
      </c>
      <c r="E195" s="45" t="inlineStr">
        <is>
          <t>2025-05-08</t>
        </is>
      </c>
      <c r="F195" s="45" t="inlineStr">
        <is>
          <t>Yes</t>
        </is>
      </c>
      <c r="G195" s="46" t="inlineStr">
        <is>
          <t>Local, Intervention</t>
        </is>
      </c>
      <c r="H195" s="46" t="inlineStr">
        <is>
          <t>Governance and Transparency</t>
        </is>
      </c>
      <c r="I195" s="46" t="inlineStr">
        <is>
          <t>https://assets.publishing.service.gov.uk/media/681b6fba3f1c73824ee3e538/Nottingham_Commissioners_Second_Report_March_2025.pdf</t>
        </is>
      </c>
      <c r="J195" s="45" t="inlineStr"/>
      <c r="K195" s="46" t="inlineStr"/>
      <c r="L195" s="46" t="inlineStr">
        <is>
          <t>d0c4aa38cacc84d33879e8a21c14a906</t>
        </is>
      </c>
      <c r="M195" s="46" t="inlineStr"/>
    </row>
    <row r="196" ht="40" customHeight="1" s="28">
      <c r="A196" s="43" t="inlineStr">
        <is>
          <t>2026-08-04</t>
        </is>
      </c>
      <c r="B196" s="44" t="inlineStr">
        <is>
          <t>Nottingham City Council: Exceptional Financial Support request 2025-26</t>
        </is>
      </c>
      <c r="C196" s="44" t="inlineStr">
        <is>
          <t>GOV.UK</t>
        </is>
      </c>
      <c r="D196" s="44" t="inlineStr">
        <is>
          <t>Attachment</t>
        </is>
      </c>
      <c r="E196" s="43" t="inlineStr">
        <is>
          <t>2025-03-13</t>
        </is>
      </c>
      <c r="F196" s="43" t="inlineStr">
        <is>
          <t>Yes</t>
        </is>
      </c>
      <c r="G196" s="44" t="inlineStr">
        <is>
          <t>Local, Intervention</t>
        </is>
      </c>
      <c r="H196" s="44" t="inlineStr">
        <is>
          <t>Other</t>
        </is>
      </c>
      <c r="I196" s="44" t="inlineStr">
        <is>
          <t>https://assets.publishing.service.gov.uk/media/67cae216ade26736dbfa002b/Nottingham_City_Council_-_Exceptional_Financial_Support_request_2025-26.pdf</t>
        </is>
      </c>
      <c r="J196" s="43" t="inlineStr"/>
      <c r="K196" s="44" t="inlineStr"/>
      <c r="L196" s="44" t="inlineStr">
        <is>
          <t>5df9c5bb373b451c02a462f88155b573</t>
        </is>
      </c>
      <c r="M196" s="44" t="inlineStr"/>
    </row>
    <row r="197" ht="40" customHeight="1" s="28">
      <c r="A197" s="45" t="inlineStr">
        <is>
          <t>2026-08-04</t>
        </is>
      </c>
      <c r="B197" s="46" t="inlineStr">
        <is>
          <t>Nottingham City Council: Ministerial response to Commissioners’ first report</t>
        </is>
      </c>
      <c r="C197" s="46" t="inlineStr">
        <is>
          <t>GOV.UK</t>
        </is>
      </c>
      <c r="D197" s="46" t="inlineStr">
        <is>
          <t>Attachment</t>
        </is>
      </c>
      <c r="E197" s="45" t="inlineStr">
        <is>
          <t>2024-12-12</t>
        </is>
      </c>
      <c r="F197" s="45" t="inlineStr">
        <is>
          <t>Yes</t>
        </is>
      </c>
      <c r="G197" s="46" t="inlineStr">
        <is>
          <t>Local, Intervention</t>
        </is>
      </c>
      <c r="H197" s="46" t="inlineStr">
        <is>
          <t>Governance and Transparency</t>
        </is>
      </c>
      <c r="I197" s="46" t="inlineStr">
        <is>
          <t>https://assets.publishing.service.gov.uk/media/675962be79e8a9792b711117/Ministerial_Response_to_Nottingham_Commissioners__first_report.pdf</t>
        </is>
      </c>
      <c r="J197" s="45" t="inlineStr"/>
      <c r="K197" s="46" t="inlineStr"/>
      <c r="L197" s="46" t="inlineStr">
        <is>
          <t>948914f0c28af5425e348ea10c4efb59</t>
        </is>
      </c>
      <c r="M197" s="46" t="inlineStr"/>
    </row>
    <row r="198" ht="40" customHeight="1" s="28">
      <c r="A198" s="43" t="inlineStr">
        <is>
          <t>2026-08-04</t>
        </is>
      </c>
      <c r="B198" s="44" t="inlineStr">
        <is>
          <t>Nottingham City Council: Commissioners' first report</t>
        </is>
      </c>
      <c r="C198" s="44" t="inlineStr">
        <is>
          <t>GOV.UK</t>
        </is>
      </c>
      <c r="D198" s="44" t="inlineStr">
        <is>
          <t>Attachment</t>
        </is>
      </c>
      <c r="E198" s="43" t="inlineStr">
        <is>
          <t>2024-12-12</t>
        </is>
      </c>
      <c r="F198" s="43" t="inlineStr">
        <is>
          <t>Yes</t>
        </is>
      </c>
      <c r="G198" s="44" t="inlineStr">
        <is>
          <t>Local, Intervention</t>
        </is>
      </c>
      <c r="H198" s="44" t="inlineStr">
        <is>
          <t>Governance and Transparency</t>
        </is>
      </c>
      <c r="I198" s="44" t="inlineStr">
        <is>
          <t>https://assets.publishing.service.gov.uk/media/675961bf79e8a9792b711115/Nottingham_Commissioners__first_report.pdf</t>
        </is>
      </c>
      <c r="J198" s="43" t="inlineStr"/>
      <c r="K198" s="44" t="inlineStr"/>
      <c r="L198" s="44" t="inlineStr">
        <is>
          <t>3ff8a559cfc576c231c3341457cc3e3b</t>
        </is>
      </c>
      <c r="M198" s="44" t="inlineStr"/>
    </row>
    <row r="199" ht="40" customHeight="1" s="28">
      <c r="A199" s="45" t="inlineStr">
        <is>
          <t>2026-08-04</t>
        </is>
      </c>
      <c r="B199" s="46" t="inlineStr">
        <is>
          <t>Nottingham City Council Improvement and Assurance Board: final report</t>
        </is>
      </c>
      <c r="C199" s="46" t="inlineStr">
        <is>
          <t>GOV.UK</t>
        </is>
      </c>
      <c r="D199" s="46" t="inlineStr">
        <is>
          <t>Attachment</t>
        </is>
      </c>
      <c r="E199" s="45" t="inlineStr">
        <is>
          <t>2024-05-16</t>
        </is>
      </c>
      <c r="F199" s="45" t="inlineStr">
        <is>
          <t>Unclear</t>
        </is>
      </c>
      <c r="G199" s="46" t="inlineStr">
        <is>
          <t>Local</t>
        </is>
      </c>
      <c r="H199" s="46" t="inlineStr">
        <is>
          <t>Internal Controls</t>
        </is>
      </c>
      <c r="I199" s="46" t="inlineStr">
        <is>
          <t>/government/publications/nottingham-city-council-improvement-and-assurance-board-final-report/nottingham-city-council-improvement-and-assurance-board-final-report</t>
        </is>
      </c>
      <c r="J199" s="45" t="inlineStr"/>
      <c r="K199" s="46" t="inlineStr"/>
      <c r="L199" s="46" t="inlineStr">
        <is>
          <t>df0a933e5e3aa76e7ff8faa75ddab56e</t>
        </is>
      </c>
      <c r="M199" s="46" t="inlineStr"/>
    </row>
    <row r="200" ht="40" customHeight="1" s="28">
      <c r="A200" s="43" t="inlineStr">
        <is>
          <t>2026-08-04</t>
        </is>
      </c>
      <c r="B200" s="44" t="inlineStr">
        <is>
          <t>​​Nottingham City Council: Explanatory Memorandum (updated 11 April 2024)​</t>
        </is>
      </c>
      <c r="C200" s="44" t="inlineStr">
        <is>
          <t>GOV.UK</t>
        </is>
      </c>
      <c r="D200" s="44" t="inlineStr">
        <is>
          <t>Attachment</t>
        </is>
      </c>
      <c r="E200" s="43" t="inlineStr">
        <is>
          <t>2024-04-11</t>
        </is>
      </c>
      <c r="F200" s="43" t="inlineStr">
        <is>
          <t>Unclear</t>
        </is>
      </c>
      <c r="G200" s="44" t="inlineStr">
        <is>
          <t>Local</t>
        </is>
      </c>
      <c r="H200" s="44" t="inlineStr">
        <is>
          <t>Other</t>
        </is>
      </c>
      <c r="I200" s="44" t="inlineStr">
        <is>
          <t>https://assets.publishing.service.gov.uk/media/6616bd3156df202ca4ac05fc/NCC_Revised_Explanatory_Memorandum.pdf</t>
        </is>
      </c>
      <c r="J200" s="43" t="inlineStr"/>
      <c r="K200" s="44" t="inlineStr"/>
      <c r="L200" s="44" t="inlineStr">
        <is>
          <t>7ccabb3c8021cc368da2cbd9d2b4340d</t>
        </is>
      </c>
      <c r="M200" s="44" t="inlineStr"/>
    </row>
    <row r="201" ht="40" customHeight="1" s="28">
      <c r="A201" s="45" t="inlineStr">
        <is>
          <t>2026-08-04</t>
        </is>
      </c>
      <c r="B201" s="46" t="inlineStr">
        <is>
          <t>Nottingham City Council: Lead Commissioner appointment letter (Tony McArdle)</t>
        </is>
      </c>
      <c r="C201" s="46" t="inlineStr">
        <is>
          <t>GOV.UK</t>
        </is>
      </c>
      <c r="D201" s="46" t="inlineStr">
        <is>
          <t>Attachment</t>
        </is>
      </c>
      <c r="E201" s="45" t="inlineStr">
        <is>
          <t>2024-04-11</t>
        </is>
      </c>
      <c r="F201" s="45" t="inlineStr">
        <is>
          <t>Yes</t>
        </is>
      </c>
      <c r="G201" s="46" t="inlineStr">
        <is>
          <t>Local, Intervention</t>
        </is>
      </c>
      <c r="H201" s="46" t="inlineStr">
        <is>
          <t>Governance and Transparency</t>
        </is>
      </c>
      <c r="I201" s="46" t="inlineStr">
        <is>
          <t>https://assets.publishing.service.gov.uk/media/65d716c3188d77001103887d/Nottingham_City_Council_Lead_Commissioner_appointment_letter__Tony_McArdle_.pdf</t>
        </is>
      </c>
      <c r="J201" s="45" t="inlineStr"/>
      <c r="K201" s="46" t="inlineStr"/>
      <c r="L201" s="46" t="inlineStr">
        <is>
          <t>19ea7843198673d8c167be5949be06c0</t>
        </is>
      </c>
      <c r="M201" s="46" t="inlineStr"/>
    </row>
    <row r="202" ht="40" customHeight="1" s="28">
      <c r="A202" s="43" t="inlineStr">
        <is>
          <t>2026-08-04</t>
        </is>
      </c>
      <c r="B202" s="44" t="inlineStr">
        <is>
          <t>Nottingham City Council: Commissioner appointment letter (Margaret Lee)</t>
        </is>
      </c>
      <c r="C202" s="44" t="inlineStr">
        <is>
          <t>GOV.UK</t>
        </is>
      </c>
      <c r="D202" s="44" t="inlineStr">
        <is>
          <t>Attachment</t>
        </is>
      </c>
      <c r="E202" s="43" t="inlineStr">
        <is>
          <t>2024-04-11</t>
        </is>
      </c>
      <c r="F202" s="43" t="inlineStr">
        <is>
          <t>Yes</t>
        </is>
      </c>
      <c r="G202" s="44" t="inlineStr">
        <is>
          <t>Local, Intervention</t>
        </is>
      </c>
      <c r="H202" s="44" t="inlineStr">
        <is>
          <t>Governance and Transparency</t>
        </is>
      </c>
      <c r="I202" s="44" t="inlineStr">
        <is>
          <t>https://assets.publishing.service.gov.uk/media/65d7179b188d77a8d3038774/Nottingham_City_Council_Commissioner_appointment_letter__Margaret_Lee_.pdf</t>
        </is>
      </c>
      <c r="J202" s="43" t="inlineStr"/>
      <c r="K202" s="44" t="inlineStr"/>
      <c r="L202" s="44" t="inlineStr">
        <is>
          <t>85630cbc0e7368b0d87f1000ee3afaa6</t>
        </is>
      </c>
      <c r="M202" s="44" t="inlineStr"/>
    </row>
    <row r="203" ht="40" customHeight="1" s="28">
      <c r="A203" s="45" t="inlineStr">
        <is>
          <t>2026-08-04</t>
        </is>
      </c>
      <c r="B203" s="46" t="inlineStr">
        <is>
          <t>Nottingham City Council: Commissioner appointment letter (Sharon Kemp)</t>
        </is>
      </c>
      <c r="C203" s="46" t="inlineStr">
        <is>
          <t>GOV.UK</t>
        </is>
      </c>
      <c r="D203" s="46" t="inlineStr">
        <is>
          <t>Attachment</t>
        </is>
      </c>
      <c r="E203" s="45" t="inlineStr">
        <is>
          <t>2024-04-11</t>
        </is>
      </c>
      <c r="F203" s="45" t="inlineStr">
        <is>
          <t>Yes</t>
        </is>
      </c>
      <c r="G203" s="46" t="inlineStr">
        <is>
          <t>Local, Intervention</t>
        </is>
      </c>
      <c r="H203" s="46" t="inlineStr">
        <is>
          <t>Governance and Transparency</t>
        </is>
      </c>
      <c r="I203" s="46" t="inlineStr">
        <is>
          <t>https://assets.publishing.service.gov.uk/media/6616b31a1a70cf4b92093246/NCC_Commissioner_Appointment_Letter_Sharon_Kemp.pdf</t>
        </is>
      </c>
      <c r="J203" s="45" t="inlineStr"/>
      <c r="K203" s="46" t="inlineStr"/>
      <c r="L203" s="46" t="inlineStr">
        <is>
          <t>e7ca97105a4a5b9358a7c7b57168cb53</t>
        </is>
      </c>
      <c r="M203" s="46" t="inlineStr"/>
    </row>
    <row r="204" ht="40" customHeight="1" s="28">
      <c r="A204" s="43" t="inlineStr">
        <is>
          <t>2026-08-04</t>
        </is>
      </c>
      <c r="B204" s="44" t="inlineStr">
        <is>
          <t>Nottingham City Council: Exceptional Financial Support request 2024-25</t>
        </is>
      </c>
      <c r="C204" s="44" t="inlineStr">
        <is>
          <t>GOV.UK</t>
        </is>
      </c>
      <c r="D204" s="44" t="inlineStr">
        <is>
          <t>Attachment</t>
        </is>
      </c>
      <c r="E204" s="43" t="inlineStr">
        <is>
          <t>2024-02-29</t>
        </is>
      </c>
      <c r="F204" s="43" t="inlineStr">
        <is>
          <t>Yes</t>
        </is>
      </c>
      <c r="G204" s="44" t="inlineStr">
        <is>
          <t>Local, Intervention</t>
        </is>
      </c>
      <c r="H204" s="44" t="inlineStr">
        <is>
          <t>Other</t>
        </is>
      </c>
      <c r="I204" s="44" t="inlineStr">
        <is>
          <t>https://assets.publishing.service.gov.uk/media/65df5aeef1cab36b60fc4738/Exceptional_Financial_Support_Letter_-_Nottingham_City_Council_2024-25.pdf</t>
        </is>
      </c>
      <c r="J204" s="43" t="inlineStr"/>
      <c r="K204" s="44" t="inlineStr"/>
      <c r="L204" s="44" t="inlineStr">
        <is>
          <t>30595b99ee22d46036f2e566020f7ad6</t>
        </is>
      </c>
      <c r="M204" s="44" t="inlineStr"/>
    </row>
    <row r="205" ht="40" customHeight="1" s="28">
      <c r="A205" s="45" t="inlineStr">
        <is>
          <t>2026-08-04</t>
        </is>
      </c>
      <c r="B205" s="46" t="inlineStr">
        <is>
          <t>Nottingham City Council: Letter to the Chief Executive (22 February 2024)</t>
        </is>
      </c>
      <c r="C205" s="46" t="inlineStr">
        <is>
          <t>GOV.UK</t>
        </is>
      </c>
      <c r="D205" s="46" t="inlineStr">
        <is>
          <t>Attachment</t>
        </is>
      </c>
      <c r="E205" s="45" t="inlineStr">
        <is>
          <t>2024-02-22</t>
        </is>
      </c>
      <c r="F205" s="45" t="inlineStr">
        <is>
          <t>Unclear</t>
        </is>
      </c>
      <c r="G205" s="46" t="inlineStr">
        <is>
          <t>Local</t>
        </is>
      </c>
      <c r="H205" s="46" t="inlineStr">
        <is>
          <t>Other</t>
        </is>
      </c>
      <c r="I205" s="46" t="inlineStr">
        <is>
          <t>https://assets.publishing.service.gov.uk/media/65d744ec54f1e7001a165885/Nottingham_City_Council_Letter_to_the_Chief_Executive__22_February_2024_.pdf</t>
        </is>
      </c>
      <c r="J205" s="45" t="inlineStr"/>
      <c r="K205" s="46" t="inlineStr"/>
      <c r="L205" s="46" t="inlineStr">
        <is>
          <t>10a0bc76cde45b413d51f54ede47f880</t>
        </is>
      </c>
      <c r="M205" s="46" t="inlineStr"/>
    </row>
    <row r="206" ht="40" customHeight="1" s="28">
      <c r="A206" s="43" t="inlineStr">
        <is>
          <t>2026-08-04</t>
        </is>
      </c>
      <c r="B206" s="44" t="inlineStr">
        <is>
          <t>Nottingham City Council: Ministerial letter to Sir Tony Redmond (22 February 2024)</t>
        </is>
      </c>
      <c r="C206" s="44" t="inlineStr">
        <is>
          <t>GOV.UK</t>
        </is>
      </c>
      <c r="D206" s="44" t="inlineStr">
        <is>
          <t>Attachment</t>
        </is>
      </c>
      <c r="E206" s="43" t="inlineStr">
        <is>
          <t>2024-02-22</t>
        </is>
      </c>
      <c r="F206" s="43" t="inlineStr">
        <is>
          <t>Unclear</t>
        </is>
      </c>
      <c r="G206" s="44" t="inlineStr">
        <is>
          <t>Local</t>
        </is>
      </c>
      <c r="H206" s="44" t="inlineStr">
        <is>
          <t>Other</t>
        </is>
      </c>
      <c r="I206" s="44" t="inlineStr">
        <is>
          <t>https://assets.publishing.service.gov.uk/media/65d71d7f2ab2b3e0f27595ad/Nottingham_City_Council_Ministerial_response_to_Sir_Tony_Redmond__22_February_2024_.pdf</t>
        </is>
      </c>
      <c r="J206" s="43" t="inlineStr"/>
      <c r="K206" s="44" t="inlineStr"/>
      <c r="L206" s="44" t="inlineStr">
        <is>
          <t>1ab8bb28f82ff71064ebd6d3d60f432f</t>
        </is>
      </c>
      <c r="M206" s="44" t="inlineStr"/>
    </row>
    <row r="207" ht="40" customHeight="1" s="28">
      <c r="A207" s="45" t="inlineStr">
        <is>
          <t>2026-08-04</t>
        </is>
      </c>
      <c r="B207" s="46" t="inlineStr">
        <is>
          <t>Nottingham City Council: Directions made under the Local Government Act 1999 (22 February 2024)</t>
        </is>
      </c>
      <c r="C207" s="46" t="inlineStr">
        <is>
          <t>GOV.UK</t>
        </is>
      </c>
      <c r="D207" s="46" t="inlineStr">
        <is>
          <t>Attachment</t>
        </is>
      </c>
      <c r="E207" s="45" t="inlineStr">
        <is>
          <t>2024-02-22</t>
        </is>
      </c>
      <c r="F207" s="45" t="inlineStr">
        <is>
          <t>Unclear</t>
        </is>
      </c>
      <c r="G207" s="46" t="inlineStr">
        <is>
          <t>Local</t>
        </is>
      </c>
      <c r="H207" s="46" t="inlineStr">
        <is>
          <t>Other</t>
        </is>
      </c>
      <c r="I207" s="46" t="inlineStr">
        <is>
          <t>https://assets.publishing.service.gov.uk/media/65d713262197b200117fa80a/Nottingham_City_Council_Directions_made_under_the_Local_Government_Act_1999__22_February_2024_.pdf</t>
        </is>
      </c>
      <c r="J207" s="45" t="inlineStr"/>
      <c r="K207" s="46" t="inlineStr"/>
      <c r="L207" s="46" t="inlineStr">
        <is>
          <t>9ddf0b01939c768e46e11a517a832ed2</t>
        </is>
      </c>
      <c r="M207" s="46" t="inlineStr"/>
    </row>
    <row r="208" ht="40" customHeight="1" s="28">
      <c r="A208" s="43" t="inlineStr">
        <is>
          <t>2026-08-04</t>
        </is>
      </c>
      <c r="B208" s="44" t="inlineStr">
        <is>
          <t>Nottingham City Council: Explanatory Memorandum (22 February 2024)</t>
        </is>
      </c>
      <c r="C208" s="44" t="inlineStr">
        <is>
          <t>GOV.UK</t>
        </is>
      </c>
      <c r="D208" s="44" t="inlineStr">
        <is>
          <t>Attachment</t>
        </is>
      </c>
      <c r="E208" s="43" t="inlineStr">
        <is>
          <t>2024-02-22</t>
        </is>
      </c>
      <c r="F208" s="43" t="inlineStr">
        <is>
          <t>Unclear</t>
        </is>
      </c>
      <c r="G208" s="44" t="inlineStr">
        <is>
          <t>Local</t>
        </is>
      </c>
      <c r="H208" s="44" t="inlineStr">
        <is>
          <t>Other</t>
        </is>
      </c>
      <c r="I208" s="44" t="inlineStr">
        <is>
          <t>https://assets.publishing.service.gov.uk/media/65d713b6188d770011038878/Nottingham_City_Council_Explanatory_Memorandum__22_February_2024_.pdf</t>
        </is>
      </c>
      <c r="J208" s="43" t="inlineStr"/>
      <c r="K208" s="44" t="inlineStr"/>
      <c r="L208" s="44" t="inlineStr">
        <is>
          <t>6c3a9937c1548e83108b1ada5c4e559a</t>
        </is>
      </c>
      <c r="M208" s="44" t="inlineStr"/>
    </row>
    <row r="209" ht="40" customHeight="1" s="28">
      <c r="A209" s="45" t="inlineStr">
        <is>
          <t>2026-08-04</t>
        </is>
      </c>
      <c r="B209" s="46" t="inlineStr">
        <is>
          <t>Nottingham City Council: Representation (22 February 2024)</t>
        </is>
      </c>
      <c r="C209" s="46" t="inlineStr">
        <is>
          <t>GOV.UK</t>
        </is>
      </c>
      <c r="D209" s="46" t="inlineStr">
        <is>
          <t>Attachment</t>
        </is>
      </c>
      <c r="E209" s="45" t="inlineStr">
        <is>
          <t>2024-02-22</t>
        </is>
      </c>
      <c r="F209" s="45" t="inlineStr">
        <is>
          <t>Unclear</t>
        </is>
      </c>
      <c r="G209" s="46" t="inlineStr">
        <is>
          <t>Local</t>
        </is>
      </c>
      <c r="H209" s="46" t="inlineStr">
        <is>
          <t>Other</t>
        </is>
      </c>
      <c r="I209" s="46" t="inlineStr">
        <is>
          <t>https://assets.publishing.service.gov.uk/media/65d72394188d77a8d303878c/Nottingham_City_Council_Representation__22_February_2024_.pdf</t>
        </is>
      </c>
      <c r="J209" s="45" t="inlineStr"/>
      <c r="K209" s="46" t="inlineStr"/>
      <c r="L209" s="46" t="inlineStr">
        <is>
          <t>3ff2d1093161f0e8a2973d18e812185a</t>
        </is>
      </c>
      <c r="M209" s="46" t="inlineStr"/>
    </row>
  </sheetData>
  <autoFilter ref="A1:M209"/>
  <dataValidations count="1">
    <dataValidation sqref="J2:J2000" showDropDown="0" showInputMessage="0" showErrorMessage="0" allowBlank="1" type="list">
      <formula1>"Yes,No"</formula1>
    </dataValidation>
  </dataValidations>
  <hyperlinks>
    <hyperlink xmlns:r="http://schemas.openxmlformats.org/officeDocument/2006/relationships" ref="I67" r:id="rId1"/>
    <hyperlink xmlns:r="http://schemas.openxmlformats.org/officeDocument/2006/relationships" ref="I68" r:id="rId2"/>
    <hyperlink xmlns:r="http://schemas.openxmlformats.org/officeDocument/2006/relationships" ref="I69" r:id="rId3"/>
    <hyperlink xmlns:r="http://schemas.openxmlformats.org/officeDocument/2006/relationships" ref="I70" r:id="rId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3"/>
  <sheetViews>
    <sheetView tabSelected="1" topLeftCell="A1" zoomScaleNormal="100" workbookViewId="0">
      <pane xSplit="2" ySplit="1" topLeftCell="C2" activePane="bottomRight" state="frozen"/>
      <selection pane="topRight" activeCell="A1" sqref="A1"/>
      <selection pane="bottomLeft" activeCell="A1" sqref="A1"/>
      <selection pane="bottomRight" activeCell="C2" sqref="C2"/>
      <selection pane="bottomLeft" activeCell="A1" sqref="A1"/>
      <selection pane="bottomRight" activeCell="C2" sqref="C2"/>
      <selection pane="bottomLeft" activeCell="A1" sqref="A1"/>
      <selection pane="bottomRight" activeCell="C2" sqref="C2"/>
      <selection pane="bottomLeft" activeCell="A1" sqref="A1"/>
      <selection pane="bottomRight" activeCell="C2" sqref="C2"/>
    </sheetView>
  </sheetViews>
  <sheetFormatPr baseColWidth="8" defaultRowHeight="14.4"/>
  <cols>
    <col width="11" customWidth="1" style="28" min="1" max="1"/>
    <col width="46" customWidth="1" style="28" min="2" max="2"/>
    <col width="28" customWidth="1" style="28" min="3" max="3"/>
    <col width="16" customWidth="1" style="28" min="4" max="4"/>
    <col width="22" customWidth="1" style="28" min="5" max="5"/>
    <col width="9" customWidth="1" style="28" min="6" max="6"/>
    <col width="11" customWidth="1" style="28" min="7" max="7"/>
    <col width="12" customWidth="1" style="28" min="8" max="8"/>
    <col width="30" customWidth="1" style="28" min="9" max="9"/>
    <col width="28" customWidth="1" style="28" min="10" max="10"/>
    <col width="18" customWidth="1" style="28" min="11" max="11"/>
    <col width="11" customWidth="1" style="28" min="12" max="12"/>
    <col width="40" customWidth="1" style="28" min="13" max="13"/>
    <col width="12" customWidth="1" style="28" min="14" max="14"/>
    <col width="16" customWidth="1" style="28" min="15" max="15"/>
  </cols>
  <sheetData>
    <row r="1" ht="30" customHeight="1" s="28">
      <c r="A1" s="42" t="inlineStr">
        <is>
          <t>Obligation ID</t>
        </is>
      </c>
      <c r="B1" s="42" t="inlineStr">
        <is>
          <t>Obligation</t>
        </is>
      </c>
      <c r="C1" s="42" t="inlineStr">
        <is>
          <t>Source / Trigger</t>
        </is>
      </c>
      <c r="D1" s="42" t="inlineStr">
        <is>
          <t>Theme</t>
        </is>
      </c>
      <c r="E1" s="42" t="inlineStr">
        <is>
          <t>Owner</t>
        </is>
      </c>
      <c r="F1" s="42" t="inlineStr">
        <is>
          <t>Risk Rating</t>
        </is>
      </c>
      <c r="G1" s="42" t="inlineStr">
        <is>
          <t>Target Date</t>
        </is>
      </c>
      <c r="H1" s="42" t="inlineStr">
        <is>
          <t>Status</t>
        </is>
      </c>
      <c r="I1" s="42" t="inlineStr">
        <is>
          <t>Evidence Required</t>
        </is>
      </c>
      <c r="J1" s="42" t="inlineStr">
        <is>
          <t>Evidence Location</t>
        </is>
      </c>
      <c r="K1" s="42" t="inlineStr">
        <is>
          <t>Sign Off By</t>
        </is>
      </c>
      <c r="L1" s="42" t="inlineStr">
        <is>
          <t>Last Updated</t>
        </is>
      </c>
      <c r="M1" s="42" t="inlineStr">
        <is>
          <t>Notes</t>
        </is>
      </c>
      <c r="N1" s="42" t="inlineStr">
        <is>
          <t>Obligation Level</t>
        </is>
      </c>
      <c r="O1" s="42" t="inlineStr">
        <is>
          <t>Linked Actions</t>
        </is>
      </c>
    </row>
    <row r="2" ht="40" customHeight="1" s="28">
      <c r="A2" s="44" t="inlineStr">
        <is>
          <t>OB-A1</t>
        </is>
      </c>
      <c r="B2" s="44" t="inlineStr">
        <is>
          <t>NCC must establish the Continuous Improvement Committee with the required membership including Opposition Leaders, independent external leads for Adults and Children, and Ministerial Envoys.</t>
        </is>
      </c>
      <c r="C2" s="44" t="inlineStr">
        <is>
          <t>Nottingham City Council: Directions made under the Local Government Act 1999 (24 March 2026)</t>
        </is>
      </c>
      <c r="D2" s="44" t="inlineStr">
        <is>
          <t>Governance and Transparency</t>
        </is>
      </c>
      <c r="E2" s="44" t="inlineStr">
        <is>
          <t>Beth Brown (Strategic Director of Legal and Governance)</t>
        </is>
      </c>
      <c r="F2" s="43" t="inlineStr">
        <is>
          <t>High</t>
        </is>
      </c>
      <c r="G2" s="73" t="n">
        <v>46177</v>
      </c>
      <c r="H2" s="43" t="inlineStr">
        <is>
          <t>Complete</t>
        </is>
      </c>
      <c r="I2" s="44" t="inlineStr">
        <is>
          <t>Committee Terms of Reference published; first meeting held with correct membership.</t>
        </is>
      </c>
      <c r="J2" s="44" t="inlineStr">
        <is>
          <t>https://committee.nottinghamcity.gov.uk/documents/g11742/Public%20reports%20pack%2004th-Jun-2026%2014.00%20Improvement%20Committee.pdf</t>
        </is>
      </c>
      <c r="K2" s="44" t="inlineStr">
        <is>
          <t>Improvement Committee / John</t>
        </is>
      </c>
      <c r="L2" s="43" t="inlineStr">
        <is>
          <t>2026-08-04</t>
        </is>
      </c>
      <c r="M2" s="44" t="inlineStr">
        <is>
          <t>Completed at the 4 June 2026 Improvement Committee meeting. Was part of the old OB-005 commissioner row.</t>
        </is>
      </c>
      <c r="N2" s="43" t="inlineStr">
        <is>
          <t>Periodic</t>
        </is>
      </c>
      <c r="O2" s="44" t="inlineStr"/>
    </row>
    <row r="3" ht="40" customHeight="1" s="28">
      <c r="A3" s="46" t="inlineStr">
        <is>
          <t>OB-A2</t>
        </is>
      </c>
      <c r="B3" s="46" t="inlineStr">
        <is>
          <t>NCC must prepare and agree the Continuous Service Improvement Plan (CSIP) with the Ministerial Envoys within three months of the 24 March 2026 directions.</t>
        </is>
      </c>
      <c r="C3" s="46" t="inlineStr">
        <is>
          <t>24 March 2026 Directions; Improvement Committee report 4 June 2026</t>
        </is>
      </c>
      <c r="D3" s="46" t="inlineStr">
        <is>
          <t>Governance and Transparency</t>
        </is>
      </c>
      <c r="E3" s="46" t="inlineStr">
        <is>
          <t>Sajeeda Rose (Chief Executive)</t>
        </is>
      </c>
      <c r="F3" s="45" t="inlineStr">
        <is>
          <t>High</t>
        </is>
      </c>
      <c r="G3" s="74" t="n">
        <v>46197</v>
      </c>
      <c r="H3" s="45" t="inlineStr">
        <is>
          <t>In progress</t>
        </is>
      </c>
      <c r="I3" s="46" t="inlineStr">
        <is>
          <t>Improvement Committee endorsement minute; published CSIP document.</t>
        </is>
      </c>
      <c r="J3" s="46" t="inlineStr">
        <is>
          <t>https://www.gov.uk/government/collections/statutory-intervention-nottingham-city-council-minded-to-decision</t>
        </is>
      </c>
      <c r="K3" s="46" t="inlineStr">
        <is>
          <t>Improvement Committee / Ministerial Envoys</t>
        </is>
      </c>
      <c r="L3" s="45" t="inlineStr">
        <is>
          <t>2026-08-04</t>
        </is>
      </c>
      <c r="M3" s="46" t="inlineStr">
        <is>
          <t>MOST TIME-CRITICAL obligation. Deadline 24 June 2026 = three months from the 24 March 2026 directions.</t>
        </is>
      </c>
      <c r="N3" s="45" t="inlineStr">
        <is>
          <t>Statutory</t>
        </is>
      </c>
      <c r="O3" s="46" t="inlineStr">
        <is>
          <t>A-009</t>
        </is>
      </c>
    </row>
    <row r="4" ht="40" customHeight="1" s="28">
      <c r="A4" s="44" t="inlineStr">
        <is>
          <t>OB-A3</t>
        </is>
      </c>
      <c r="B4" s="44" t="inlineStr">
        <is>
          <t>NCC must embed improvements in financial management, savings delivery, accounts production, and capital programme governance.</t>
        </is>
      </c>
      <c r="C4" s="44" t="inlineStr">
        <is>
          <t>24 March 2026 Directions; CSIP Financial Sustainability and Management programme</t>
        </is>
      </c>
      <c r="D4" s="44" t="inlineStr">
        <is>
          <t>Financial Reporting</t>
        </is>
      </c>
      <c r="E4" s="44" t="inlineStr">
        <is>
          <t>Stuart Fair (Corporate Director for Finance and Resources, S151)</t>
        </is>
      </c>
      <c r="F4" s="43" t="inlineStr">
        <is>
          <t>High</t>
        </is>
      </c>
      <c r="G4" s="43" t="inlineStr"/>
      <c r="H4" s="43" t="inlineStr">
        <is>
          <t>Ongoing</t>
        </is>
      </c>
      <c r="I4" s="44" t="inlineStr">
        <is>
          <t>Audit Committee treasury and accounts papers; CSIP performance reporting; six-monthly Improvement Committee reports.</t>
        </is>
      </c>
      <c r="J4" s="44" t="inlineStr">
        <is>
          <t>https://committee.nottinghamcity.gov.uk/ieListMeetings.aspx?CommitteeId=1175</t>
        </is>
      </c>
      <c r="K4" s="44" t="inlineStr">
        <is>
          <t>Improvement Committee</t>
        </is>
      </c>
      <c r="L4" s="43" t="inlineStr">
        <is>
          <t>2026-08-04</t>
        </is>
      </c>
      <c r="M4" s="44" t="inlineStr">
        <is>
          <t>SAO Finance: S Fair. Monitored six-monthly via the Improvement Committee.</t>
        </is>
      </c>
      <c r="N4" s="43" t="inlineStr">
        <is>
          <t>Monitoring</t>
        </is>
      </c>
      <c r="O4" s="44" t="inlineStr">
        <is>
          <t>A-010</t>
        </is>
      </c>
    </row>
    <row r="5" ht="40" customHeight="1" s="28">
      <c r="A5" s="46" t="inlineStr">
        <is>
          <t>OB-A4</t>
        </is>
      </c>
      <c r="B5" s="46" t="inlineStr">
        <is>
          <t>NCC must embed improvements in scrutiny and decision making across the council's governance arrangements.</t>
        </is>
      </c>
      <c r="C5" s="46" t="inlineStr">
        <is>
          <t>24 March 2026 Directions; CSIP Governance, Scrutiny and Decision Making programme</t>
        </is>
      </c>
      <c r="D5" s="46" t="inlineStr">
        <is>
          <t>Governance and Transparency</t>
        </is>
      </c>
      <c r="E5" s="46" t="inlineStr">
        <is>
          <t>Beth Brown (Strategic Director of Legal and Governance)</t>
        </is>
      </c>
      <c r="F5" s="45" t="inlineStr">
        <is>
          <t>Medium</t>
        </is>
      </c>
      <c r="G5" s="45" t="inlineStr"/>
      <c r="H5" s="45" t="inlineStr">
        <is>
          <t>Ongoing</t>
        </is>
      </c>
      <c r="I5" s="46" t="inlineStr">
        <is>
          <t>Improvement Committee reports; Corporate Scrutiny Committee papers; updated Scheme of Delegation.</t>
        </is>
      </c>
      <c r="J5" s="46" t="inlineStr">
        <is>
          <t>https://committee.nottinghamcity.gov.uk/ieListMeetings.aspx?CommitteeId=1175</t>
        </is>
      </c>
      <c r="K5" s="46" t="inlineStr">
        <is>
          <t>Improvement Committee</t>
        </is>
      </c>
      <c r="L5" s="45" t="inlineStr">
        <is>
          <t>2026-08-04</t>
        </is>
      </c>
      <c r="M5" s="46" t="inlineStr">
        <is>
          <t>Ongoing CSIP programme.</t>
        </is>
      </c>
      <c r="N5" s="45" t="inlineStr">
        <is>
          <t>Monitoring</t>
        </is>
      </c>
      <c r="O5" s="46" t="inlineStr">
        <is>
          <t>A-011</t>
        </is>
      </c>
    </row>
    <row r="6" ht="40" customHeight="1" s="28">
      <c r="A6" s="44" t="inlineStr">
        <is>
          <t>OB-A5</t>
        </is>
      </c>
      <c r="B6" s="44" t="inlineStr">
        <is>
          <t>NCC must embed improvements in risk management and internal audit, including aligning the internal audit function with Local Audit Office standards and guidance and ensuring synergy with external assurance.</t>
        </is>
      </c>
      <c r="C6" s="44" t="inlineStr">
        <is>
          <t>24 March 2026 Directions; CSIP Risk Management and Internal Audit programme</t>
        </is>
      </c>
      <c r="D6" s="44" t="inlineStr">
        <is>
          <t>Internal Controls</t>
        </is>
      </c>
      <c r="E6" s="44" t="inlineStr">
        <is>
          <t>Lynne Dowdican (Head of Internal Audit)</t>
        </is>
      </c>
      <c r="F6" s="43" t="inlineStr">
        <is>
          <t>High</t>
        </is>
      </c>
      <c r="G6" s="43" t="inlineStr"/>
      <c r="H6" s="43" t="inlineStr">
        <is>
          <t>Ongoing</t>
        </is>
      </c>
      <c r="I6" s="44" t="inlineStr">
        <is>
          <t>Internal Audit Annual Plan and progress reports to Audit Committee; Head of Internal Audit opinion; alignment note against LAO standards.</t>
        </is>
      </c>
      <c r="J6" s="44" t="inlineStr">
        <is>
          <t>https://committee.nottinghamcity.gov.uk/ieListMeetings.aspx?CommitteeId=145</t>
        </is>
      </c>
      <c r="K6" s="44" t="inlineStr">
        <is>
          <t>Audit Committee</t>
        </is>
      </c>
      <c r="L6" s="43" t="inlineStr">
        <is>
          <t>2026-08-04</t>
        </is>
      </c>
      <c r="M6" s="44" t="inlineStr">
        <is>
          <t>Direct CSIP obligation: internal audit must align with LAO standards. Supported by D Bowring (Risk).</t>
        </is>
      </c>
      <c r="N6" s="43" t="inlineStr">
        <is>
          <t>Monitoring</t>
        </is>
      </c>
      <c r="O6" s="44" t="inlineStr">
        <is>
          <t>A-012</t>
        </is>
      </c>
    </row>
    <row r="7" ht="40" customHeight="1" s="28">
      <c r="A7" s="46" t="inlineStr">
        <is>
          <t>OB-A6</t>
        </is>
      </c>
      <c r="B7" s="46" t="inlineStr">
        <is>
          <t>NCC must cooperate with the Ministerial Envoys, provide access, and respond to their recommendations.</t>
        </is>
      </c>
      <c r="C7" s="46" t="inlineStr">
        <is>
          <t>24 March 2026 Directions</t>
        </is>
      </c>
      <c r="D7" s="46" t="inlineStr">
        <is>
          <t>Governance and Transparency</t>
        </is>
      </c>
      <c r="E7" s="46" t="inlineStr">
        <is>
          <t>Sajeeda Rose (Chief Executive)</t>
        </is>
      </c>
      <c r="F7" s="45" t="inlineStr">
        <is>
          <t>High</t>
        </is>
      </c>
      <c r="G7" s="45" t="inlineStr"/>
      <c r="H7" s="45" t="inlineStr">
        <is>
          <t>Ongoing</t>
        </is>
      </c>
      <c r="I7" s="46" t="inlineStr">
        <is>
          <t>Improvement Committee meeting records showing Envoy attendance; responses to Envoy recommendations.</t>
        </is>
      </c>
      <c r="J7" s="46" t="inlineStr">
        <is>
          <t>https://www.gov.uk/government/collections/statutory-intervention-nottingham-city-council-minded-to-decision</t>
        </is>
      </c>
      <c r="K7" s="46" t="inlineStr">
        <is>
          <t>Chief Executive / Improvement Committee</t>
        </is>
      </c>
      <c r="L7" s="45" t="inlineStr">
        <is>
          <t>2026-08-04</t>
        </is>
      </c>
      <c r="M7" s="46" t="inlineStr">
        <is>
          <t>Since 24 March 2026 the oversight structure uses Ministerial Envoys, not Commissioners.</t>
        </is>
      </c>
      <c r="N7" s="45" t="inlineStr">
        <is>
          <t>Monitoring</t>
        </is>
      </c>
      <c r="O7" s="46" t="inlineStr">
        <is>
          <t>A-013</t>
        </is>
      </c>
    </row>
    <row r="8" ht="40" customHeight="1" s="28">
      <c r="A8" s="44" t="inlineStr">
        <is>
          <t>OB-A7</t>
        </is>
      </c>
      <c r="B8" s="44" t="inlineStr">
        <is>
          <t>NCC must respond to each recommendation in the external auditor's Annual Report and Audit Findings (ISA 260).</t>
        </is>
      </c>
      <c r="C8" s="44" t="inlineStr">
        <is>
          <t>Audit Committee 27 March 2026; External Audit Findings 2024/25</t>
        </is>
      </c>
      <c r="D8" s="44" t="inlineStr">
        <is>
          <t>Financial Reporting</t>
        </is>
      </c>
      <c r="E8" s="44" t="inlineStr">
        <is>
          <t>Gareth Robinson (Director of Finance)</t>
        </is>
      </c>
      <c r="F8" s="43" t="inlineStr">
        <is>
          <t>High</t>
        </is>
      </c>
      <c r="G8" s="73" t="n">
        <v>46234</v>
      </c>
      <c r="H8" s="43" t="inlineStr">
        <is>
          <t>In progress</t>
        </is>
      </c>
      <c r="I8" s="44" t="inlineStr">
        <is>
          <t>Management response document; Audit Committee minute noting acceptance; completed action evidence for each recommendation.</t>
        </is>
      </c>
      <c r="J8" s="44" t="inlineStr">
        <is>
          <t>https://committee.nottinghamcity.gov.uk/ieListMeetings.aspx?CommitteeId=145</t>
        </is>
      </c>
      <c r="K8" s="44" t="inlineStr">
        <is>
          <t>Audit Committee</t>
        </is>
      </c>
      <c r="L8" s="43" t="inlineStr">
        <is>
          <t>2026-08-04</t>
        </is>
      </c>
      <c r="M8" s="44" t="inlineStr">
        <is>
          <t>Tie target to the next Audit Committee cycle.</t>
        </is>
      </c>
      <c r="N8" s="43" t="inlineStr">
        <is>
          <t>Periodic</t>
        </is>
      </c>
      <c r="O8" s="44" t="inlineStr">
        <is>
          <t>A-014, A-034</t>
        </is>
      </c>
    </row>
    <row r="9" ht="40" customHeight="1" s="28">
      <c r="A9" s="46" t="inlineStr">
        <is>
          <t>OB-A8</t>
        </is>
      </c>
      <c r="B9" s="46" t="inlineStr">
        <is>
          <t>NCC must produce and publish audited accounts with a signed audit opinion.</t>
        </is>
      </c>
      <c r="C9" s="46" t="inlineStr">
        <is>
          <t>Accounts and Audit Regulations 2015; Audit Committee work programme</t>
        </is>
      </c>
      <c r="D9" s="46" t="inlineStr">
        <is>
          <t>Financial Reporting</t>
        </is>
      </c>
      <c r="E9" s="46" t="inlineStr">
        <is>
          <t>Stuart Fair (Corporate Director for Finance and Resources, S151)</t>
        </is>
      </c>
      <c r="F9" s="45" t="inlineStr">
        <is>
          <t>High</t>
        </is>
      </c>
      <c r="G9" s="74" t="n">
        <v>46295</v>
      </c>
      <c r="H9" s="45" t="inlineStr">
        <is>
          <t>In progress</t>
        </is>
      </c>
      <c r="I9" s="46" t="inlineStr">
        <is>
          <t>Published Statement of Accounts; auditor's opinion; note on any disclaimer.</t>
        </is>
      </c>
      <c r="J9" s="46" t="inlineStr"/>
      <c r="K9" s="46" t="inlineStr">
        <is>
          <t>Audit Committee</t>
        </is>
      </c>
      <c r="L9" s="45" t="inlineStr">
        <is>
          <t>2026-08-04</t>
        </is>
      </c>
      <c r="M9" s="46" t="inlineStr">
        <is>
          <t>Evidence Location must link to the SPECIFIC year's document on the Statement of Accounts page, not the homepage: https://www.nottinghamcity.gov.uk/your-council/about-the-council/statement-of-accounts-and-reports/</t>
        </is>
      </c>
      <c r="N9" s="45" t="inlineStr">
        <is>
          <t>Enduring</t>
        </is>
      </c>
      <c r="O9" s="46" t="inlineStr">
        <is>
          <t>A-015, A-035</t>
        </is>
      </c>
    </row>
    <row r="10" ht="40" customHeight="1" s="28">
      <c r="A10" s="44" t="inlineStr">
        <is>
          <t>OB-A9</t>
        </is>
      </c>
      <c r="B10" s="44" t="inlineStr">
        <is>
          <t>NCC must produce and publish an Annual Governance Statement reflecting the council's current governance position and any significant weaknesses.</t>
        </is>
      </c>
      <c r="C10" s="44" t="inlineStr">
        <is>
          <t>Accounts and Audit Regulations 2015; Audit Committee work programme July 2026</t>
        </is>
      </c>
      <c r="D10" s="44" t="inlineStr">
        <is>
          <t>Governance and Transparency</t>
        </is>
      </c>
      <c r="E10" s="44" t="inlineStr">
        <is>
          <t>Beth Brown (Strategic Director of Legal and Governance)</t>
        </is>
      </c>
      <c r="F10" s="43" t="inlineStr">
        <is>
          <t>High</t>
        </is>
      </c>
      <c r="G10" s="73" t="n">
        <v>46234</v>
      </c>
      <c r="H10" s="43" t="inlineStr">
        <is>
          <t>In progress</t>
        </is>
      </c>
      <c r="I10" s="44" t="inlineStr">
        <is>
          <t>Published AGS; Audit Committee approval minute.</t>
        </is>
      </c>
      <c r="J10" s="44" t="inlineStr">
        <is>
          <t>https://nottinghamcity.gov.uk</t>
        </is>
      </c>
      <c r="K10" s="44" t="inlineStr">
        <is>
          <t>Audit Committee</t>
        </is>
      </c>
      <c r="L10" s="43" t="inlineStr">
        <is>
          <t>2026-08-04</t>
        </is>
      </c>
      <c r="M10" s="44" t="inlineStr">
        <is>
          <t>Target: July 2026 committee cycle. Draft AGS 2024/25 confirmed published online; awaiting Audit Committee approval minute.</t>
        </is>
      </c>
      <c r="N10" s="43" t="inlineStr">
        <is>
          <t>Enduring</t>
        </is>
      </c>
      <c r="O10" s="44" t="inlineStr">
        <is>
          <t>A-016</t>
        </is>
      </c>
    </row>
    <row r="11" ht="40" customHeight="1" s="28">
      <c r="A11" s="46" t="inlineStr">
        <is>
          <t>OB-A10</t>
        </is>
      </c>
      <c r="B11" s="46" t="inlineStr">
        <is>
          <t>NCC must understand and plan for how the Local Audit Office (LAO) transition affects its audit arrangements, and brief the Audit Committee.</t>
        </is>
      </c>
      <c r="C11" s="46" t="inlineStr">
        <is>
          <t>PSAA abolition and Local Audit Office transition</t>
        </is>
      </c>
      <c r="D11" s="46" t="inlineStr">
        <is>
          <t>Audit Procurement</t>
        </is>
      </c>
      <c r="E11" s="46" t="inlineStr">
        <is>
          <t>Lynne Dowdican (Head of Internal Audit)</t>
        </is>
      </c>
      <c r="F11" s="45" t="inlineStr">
        <is>
          <t>High</t>
        </is>
      </c>
      <c r="G11" s="74" t="n">
        <v>46295</v>
      </c>
      <c r="H11" s="45" t="inlineStr">
        <is>
          <t>In progress</t>
        </is>
      </c>
      <c r="I11" s="46" t="inlineStr">
        <is>
          <t>Audit Committee briefing note on LAO implications; updated audit plan if needed.</t>
        </is>
      </c>
      <c r="J11" s="46" t="inlineStr">
        <is>
          <t>https://assets.publishing.service.gov.uk/media/6926f871345e31ab14ecf524/Local_Audit_Transition_Plan.pdf  (MHCLG Local Audit Transition Plan, Nov 2025 — Annex A carries the milestone timeline);  https://www.gov.uk/government/organisations/local-audit-office</t>
        </is>
      </c>
      <c r="K11" s="46" t="inlineStr">
        <is>
          <t>Audit Committee</t>
        </is>
      </c>
      <c r="L11" s="45" t="inlineStr">
        <is>
          <t>2026-08-04</t>
        </is>
      </c>
      <c r="M11" s="46" t="inlineStr">
        <is>
          <t>CORRECTED 4 Aug 2026 against the MHCLG Local Audit Transition Plan (Nov 2025), which states PSAA's contracts with audit firms 'have recently been extended until 2030' — the tracker previously said 2027/28, understating the horizon by two years. Auditor appointment and contracting duties transfer to the LAO in Spring 2027, with PSAA staff and the existing contracts novating across. Bill Butler is CONFIRMED as LAO Chair from 1 July 2026 (previously recorded as preferred candidate). Was the old OB-002.</t>
        </is>
      </c>
      <c r="N11" s="45" t="inlineStr">
        <is>
          <t>Monitoring</t>
        </is>
      </c>
      <c r="O11" s="46" t="inlineStr">
        <is>
          <t>A-005</t>
        </is>
      </c>
    </row>
    <row r="12" ht="40" customHeight="1" s="28">
      <c r="A12" s="44" t="inlineStr">
        <is>
          <t>OB-A11</t>
        </is>
      </c>
      <c r="B12" s="44" t="inlineStr">
        <is>
          <t>NCC must progress the open items on the Audit Committee Recommendation Tracker through to completion (see linked actions OB-A11.1, .2, .3).</t>
        </is>
      </c>
      <c r="C12" s="44" t="inlineStr">
        <is>
          <t>Audit Committee minutes 20 February 2026; Recommendation Tracker</t>
        </is>
      </c>
      <c r="D12" s="44" t="inlineStr">
        <is>
          <t>Governance and Transparency</t>
        </is>
      </c>
      <c r="E12" s="44" t="inlineStr">
        <is>
          <t>Kate Morris (Scrutiny and Audit Support Officer)</t>
        </is>
      </c>
      <c r="F12" s="43" t="inlineStr">
        <is>
          <t>Medium</t>
        </is>
      </c>
      <c r="G12" s="73" t="n">
        <v>46234</v>
      </c>
      <c r="H12" s="43" t="inlineStr">
        <is>
          <t>In progress</t>
        </is>
      </c>
      <c r="I12" s="44" t="inlineStr">
        <is>
          <t>Recommendation Tracker rows moved from Pending to Responded; completion evidence for each sub-action.</t>
        </is>
      </c>
      <c r="J12" s="44" t="inlineStr">
        <is>
          <t>https://committee.nottinghamcity.gov.uk/ieListMeetings.aspx?CommitteeId=145</t>
        </is>
      </c>
      <c r="K12" s="44" t="inlineStr">
        <is>
          <t>Audit Committee</t>
        </is>
      </c>
      <c r="L12" s="43" t="inlineStr">
        <is>
          <t>2026-08-04</t>
        </is>
      </c>
      <c r="M12" s="44" t="inlineStr">
        <is>
          <t>Parent obligation. Three sub-actions live in the Actions tab: A11.1 (exemption benchmarking), A11.2 (Table 5 clarification), A11.3 (UN PRI/UNGP legal briefing).</t>
        </is>
      </c>
      <c r="N12" s="43" t="inlineStr">
        <is>
          <t>Periodic</t>
        </is>
      </c>
      <c r="O12" s="44" t="inlineStr">
        <is>
          <t>A-001, A-002, A-003</t>
        </is>
      </c>
    </row>
    <row r="13" ht="40" customHeight="1" s="28">
      <c r="A13" s="46" t="inlineStr">
        <is>
          <t>OB-A12</t>
        </is>
      </c>
      <c r="B13" s="46" t="inlineStr">
        <is>
          <t>NCC must integrate transitional accounting baselines derived from new oversight standards into local audit workflows.</t>
        </is>
      </c>
      <c r="C13" s="46" t="inlineStr">
        <is>
          <t>Bill Butler named as preferred candidate for Local Audit Office Chair PSAA (8 June 2026)</t>
        </is>
      </c>
      <c r="D13" s="46" t="inlineStr">
        <is>
          <t>Audit Procurement</t>
        </is>
      </c>
      <c r="E13" s="46" t="inlineStr">
        <is>
          <t>Lynne Dowdican (Head of Internal Audit)</t>
        </is>
      </c>
      <c r="F13" s="45" t="inlineStr">
        <is>
          <t>High</t>
        </is>
      </c>
      <c r="G13" s="74" t="n">
        <v>46295</v>
      </c>
      <c r="H13" s="45" t="inlineStr">
        <is>
          <t>In progress</t>
        </is>
      </c>
      <c r="I13" s="46" t="inlineStr">
        <is>
          <t>Alignment strategy document approved by Audit Committee referencing new LAO framework parameters.</t>
        </is>
      </c>
      <c r="J13" s="46" t="inlineStr">
        <is>
          <t>https://www.gov.uk/government/publications/local-audit-office-chair-appointment</t>
        </is>
      </c>
      <c r="K13" s="46" t="inlineStr">
        <is>
          <t>Audit Committee</t>
        </is>
      </c>
      <c r="L13" s="45" t="inlineStr">
        <is>
          <t>2026-08-04</t>
        </is>
      </c>
      <c r="M13" s="46" t="inlineStr">
        <is>
          <t>NEW IMMINENT REQUIREMENT tracking transition handovers before ultimate PSAA abolition.</t>
        </is>
      </c>
      <c r="N13" s="45" t="inlineStr">
        <is>
          <t>Periodic</t>
        </is>
      </c>
      <c r="O13" s="46" t="inlineStr">
        <is>
          <t>A-006</t>
        </is>
      </c>
    </row>
    <row r="14" ht="40" customHeight="1" s="28">
      <c r="A14" s="44" t="inlineStr">
        <is>
          <t>OB-A13</t>
        </is>
      </c>
      <c r="B14" s="44" t="inlineStr">
        <is>
          <t>NCC must have an audit committee and arrange for it to exercise the four statutory functions in section 33A of the Local Audit and Accountability Act 2014: reviewing and scrutinising financial affairs; reviewing and assessing risk management, internal control and governance arrangements; reviewing and assessing economy, efficiency and effectiveness of resource use; and making reports and recommendations to the authority.</t>
        </is>
      </c>
      <c r="C14" s="44" t="inlineStr">
        <is>
          <t>Section 94, English Devolution and Community Empowerment Act 2026 (inserting s.33A into the Local Audit and Accountability Act 2014), commenced for Category 1 authorities from 15 July 2026 by SI 2026/812; MHCLG letter to Section 151 Officers, 31 July 2026</t>
        </is>
      </c>
      <c r="D14" s="44" t="inlineStr">
        <is>
          <t>Governance and Transparency</t>
        </is>
      </c>
      <c r="E14" s="44" t="inlineStr">
        <is>
          <t>Stuart Fair (Corporate Director for Finance and Resources, S151)</t>
        </is>
      </c>
      <c r="F14" s="43" t="inlineStr">
        <is>
          <t>High</t>
        </is>
      </c>
      <c r="G14" s="73" t="n">
        <v>46290</v>
      </c>
      <c r="H14" s="43" t="inlineStr">
        <is>
          <t>In progress</t>
        </is>
      </c>
      <c r="I14" s="44" t="inlineStr">
        <is>
          <t>Audit Committee terms of reference mapped against the four s.33A functions; constitution showing the committee is established; record of independent member appointment once the membership regulations are in force.</t>
        </is>
      </c>
      <c r="J14" s="44" t="inlineStr">
        <is>
          <t>https://www.legislation.gov.uk/ukpga/2014/2/section/33A  (the duty);  https://www.legislation.gov.uk/uksi/2026/812/made  (SI 2026/812, commenced it 15 July 2026);  evidence/2026-07-31-MHCLG-audit-committee-requirement.pdf  (MHCLG letter to S151 Officers — not published on GOV.UK, filed alongside this tracker)</t>
        </is>
      </c>
      <c r="K14" s="44" t="inlineStr">
        <is>
          <t>Audit Committee</t>
        </is>
      </c>
      <c r="L14" s="43" t="inlineStr">
        <is>
          <t>2026-08-04</t>
        </is>
      </c>
      <c r="M14" s="44" t="inlineStr">
        <is>
          <t>STATUTORY DUTY IN FORCE since 15 July 2026. MHCLG expects most authorities already comply and asks to be told of any difficulty (localaudit@communities.gov.uk). The independent member requirement is NOT yet in force — s.94 provides for further regulations on membership, appointments and allowances, to be followed by statutory guidance. MHCLG encourages authorities without an independent member to begin recruitment now so they are ready when the regulations commence.</t>
        </is>
      </c>
      <c r="N14" s="43" t="inlineStr">
        <is>
          <t>Enduring</t>
        </is>
      </c>
      <c r="O14" s="44" t="inlineStr">
        <is>
          <t>A-027, A-028, A-029</t>
        </is>
      </c>
    </row>
    <row r="15" ht="40" customHeight="1" s="28">
      <c r="A15" s="46" t="inlineStr">
        <is>
          <t>OB-A14</t>
        </is>
      </c>
      <c r="B15" s="46" t="inlineStr">
        <is>
          <t>NCC must onboard the newly appointed Political Envoy and provide the briefings and access needed for the envoy to discharge the advisory role under the de-escalated intervention arrangements.</t>
        </is>
      </c>
      <c r="C15" s="46" t="inlineStr">
        <is>
          <t>MHCLG appointment letter to Sir Stephen Houghton CBE, 15 July 2026 (James Blythe, Deputy Director, Local Government Stewardship and Interventions), appointing him Political Envoy for the purposes of the Directions made 24 March 2026 under section 15(5) of the Local Government Act 1999</t>
        </is>
      </c>
      <c r="D15" s="46" t="inlineStr">
        <is>
          <t>Governance and Transparency</t>
        </is>
      </c>
      <c r="E15" s="46" t="inlineStr">
        <is>
          <t>Sajeeda Rose (Chief Executive)</t>
        </is>
      </c>
      <c r="F15" s="45" t="inlineStr">
        <is>
          <t>High</t>
        </is>
      </c>
      <c r="G15" s="74" t="n">
        <v>46289</v>
      </c>
      <c r="H15" s="45" t="inlineStr">
        <is>
          <t>Not started</t>
        </is>
      </c>
      <c r="I15" s="46" t="inlineStr">
        <is>
          <t>Schedule of induction and advisory sessions; reporting matrix defining the advisory boundary; budget provision for envoy fees; records submitted to the Continuous Improvement Committee.</t>
        </is>
      </c>
      <c r="J15" s="46" t="inlineStr">
        <is>
          <t>https://www.gov.uk/government/publications/nottingham-city-council-ministerial-envoy-appointment-letter-15-july-2026</t>
        </is>
      </c>
      <c r="K15" s="46" t="inlineStr">
        <is>
          <t>Chief Executive / Continuous Improvement Committee</t>
        </is>
      </c>
      <c r="L15" s="45" t="inlineStr">
        <is>
          <t>2026-08-04</t>
        </is>
      </c>
      <c r="M15" s="46" t="inlineStr">
        <is>
          <t>Sir Stephen Houghton CBE joins Sharon Kemp, who is Lead Envoy; the Envoys may act jointly or severally and are accountable to the Secretary of State. The letter asks them to provide support 'in an advisory and mentoring capacity', particularly on the Best Value themes of Continuous Improvement and Service Delivery. TWO POINTS THE APPOINTMENT LETTER PUTS ON NCC: (1) fees of GBP 800 per day up to 75 days a year, plus reasonable expenses, are the Authority's responsibility to meet — a liability of up to GBP 60,000 a year per envoy that needs budget provision; (2) the Secretary of State has asked the Envoys to report within the first six months of the intervention, which runs from the 24 March 2026 Directions, hence the target date. Complements OB-A1, which covers Envoy membership of the Continuous Improvement Committee.</t>
        </is>
      </c>
      <c r="N15" s="45" t="inlineStr">
        <is>
          <t>Periodic</t>
        </is>
      </c>
      <c r="O15" s="46" t="inlineStr">
        <is>
          <t>A-030, A-031, A-032</t>
        </is>
      </c>
    </row>
    <row r="16" ht="40" customHeight="1" s="28">
      <c r="A16" s="44" t="inlineStr">
        <is>
          <t>OB-L1</t>
        </is>
      </c>
      <c r="B16" s="44" t="inlineStr">
        <is>
          <t>NCC must continue to work with other Nottinghamshire councils to define, coordinate, and implement safe day-one establishment of a new unitary authority.</t>
        </is>
      </c>
      <c r="C16" s="44" t="inlineStr">
        <is>
          <t>24 March 2026 Directions; CSIP LGR priority service improvement area</t>
        </is>
      </c>
      <c r="D16" s="44" t="inlineStr">
        <is>
          <t>LGR Transition</t>
        </is>
      </c>
      <c r="E16" s="44" t="inlineStr">
        <is>
          <t>James Rhodes (Director of Policy, Performance and Communications)</t>
        </is>
      </c>
      <c r="F16" s="43" t="inlineStr">
        <is>
          <t>High</t>
        </is>
      </c>
      <c r="G16" s="43" t="inlineStr"/>
      <c r="H16" s="43" t="inlineStr">
        <is>
          <t>Ongoing</t>
        </is>
      </c>
      <c r="I16" s="44" t="inlineStr">
        <is>
          <t>Joint LGR committee papers; transition programme updates to Improvement Committee; cooperation records with other councils.</t>
        </is>
      </c>
      <c r="J16" s="44" t="inlineStr">
        <is>
          <t>https://www.gov.uk/government/collections/nottinghamshire-and-nottingham-local-government-reorganisation</t>
        </is>
      </c>
      <c r="K16" s="44" t="inlineStr">
        <is>
          <t>Chief Executive / Improvement Committee</t>
        </is>
      </c>
      <c r="L16" s="43" t="inlineStr">
        <is>
          <t>2026-08-04</t>
        </is>
      </c>
      <c r="M16" s="44" t="inlineStr">
        <is>
          <t>See also OB-L8 on the MHCLG Devolution Framework Explainers. LGR sits under the Chief Executive and the Director of Policy. MHCLG issued non-statutory staffing issues guidance on 16 July 2026 covering appointment and transfer of employees to the new single-tier councils; gap analysis and staff consultation tracked as A-025 and A-026.</t>
        </is>
      </c>
      <c r="N16" s="43" t="inlineStr">
        <is>
          <t>Monitoring</t>
        </is>
      </c>
      <c r="O16" s="44" t="inlineStr">
        <is>
          <t>A-017, A-021, A-022, A-023, A-025, A-026</t>
        </is>
      </c>
    </row>
    <row r="17" ht="40" customHeight="1" s="28">
      <c r="A17" s="46" t="inlineStr">
        <is>
          <t>OB-L2</t>
        </is>
      </c>
      <c r="B17" s="46" t="inlineStr">
        <is>
          <t>NCC must track the MHCLG consultation decision and respond to the statutory order implications for Nottinghamshire and Nottingham.</t>
        </is>
      </c>
      <c r="C17" s="46" t="inlineStr">
        <is>
          <t>Secretary of State decision letter to Nottinghamshire and Nottingham council leaders, 16 July 2026; HCWS286 written ministerial statement</t>
        </is>
      </c>
      <c r="D17" s="46" t="inlineStr">
        <is>
          <t>LGR Transition</t>
        </is>
      </c>
      <c r="E17" s="46" t="inlineStr">
        <is>
          <t>James Rhodes (Director of Policy, Performance and Communications)</t>
        </is>
      </c>
      <c r="F17" s="45" t="inlineStr">
        <is>
          <t>High</t>
        </is>
      </c>
      <c r="G17" s="45" t="inlineStr"/>
      <c r="H17" s="45" t="inlineStr">
        <is>
          <t>Ongoing</t>
        </is>
      </c>
      <c r="I17" s="46" t="inlineStr">
        <is>
          <t>Council response to consultation; record of statutory order decision; legal advice on transition implications.</t>
        </is>
      </c>
      <c r="J17" s="46" t="inlineStr">
        <is>
          <t>https://assets.publishing.service.gov.uk/media/6a58d3105ca06bf11ccb42f9/Local_government_reorganisation_-_decision_letter_to_Nottinghamshire_and_Nottingham_council_leaders.pdf</t>
        </is>
      </c>
      <c r="K17" s="46" t="inlineStr">
        <is>
          <t>Chief Executive</t>
        </is>
      </c>
      <c r="L17" s="45" t="inlineStr">
        <is>
          <t>2026-08-04</t>
        </is>
      </c>
      <c r="M17" s="46" t="inlineStr">
        <is>
          <t>CONSULTATION DECISION MADE 16 July 2026: Secretary of State confirmed the two-unitary 'modified' option — 'Southwest' (Nottingham City plus wards from Broxtowe, Gedling, Rushcliffe) and 'North and East' (Ashfield, Bassetlaw, Mansfield, Newark and Sherwood plus remaining wards). Shadow elections confirmed May 2027 (replacing scheduled local elections); implementation targeted April 2028. Ministerial Envoy named as Sharon Kemp. This is NOT yet OB-L6's trigger: the Structural Changes Order (the statutory instrument itself) is still subject to Parliamentary approval — officials to write separately with the implementation timeline. OB-L6 becomes live only when that Order is made.</t>
        </is>
      </c>
      <c r="N17" s="45" t="inlineStr">
        <is>
          <t>Monitoring</t>
        </is>
      </c>
      <c r="O17" s="46" t="inlineStr">
        <is>
          <t>A-018</t>
        </is>
      </c>
    </row>
    <row r="18" ht="40" customHeight="1" s="28">
      <c r="A18" s="44" t="inlineStr">
        <is>
          <t>OB-L3</t>
        </is>
      </c>
      <c r="B18" s="44" t="inlineStr">
        <is>
          <t>NCC must work toward safe and legal day-one establishment of the new unitary authority, including governance, service continuity, and asset and liability planning.</t>
        </is>
      </c>
      <c r="C18" s="44" t="inlineStr">
        <is>
          <t>CSIP LGR priority area; MHCLG LGR implementation guidance (May 2026)</t>
        </is>
      </c>
      <c r="D18" s="44" t="inlineStr">
        <is>
          <t>LGR Transition</t>
        </is>
      </c>
      <c r="E18" s="44" t="inlineStr">
        <is>
          <t>James Rhodes (Director of Policy, Performance and Communications)</t>
        </is>
      </c>
      <c r="F18" s="43" t="inlineStr">
        <is>
          <t>High</t>
        </is>
      </c>
      <c r="G18" s="73" t="n">
        <v>46508</v>
      </c>
      <c r="H18" s="43" t="inlineStr">
        <is>
          <t>Ongoing</t>
        </is>
      </c>
      <c r="I18" s="44" t="inlineStr">
        <is>
          <t>Transition programme plan; governance framework for shadow authority; service continuity planning documents.</t>
        </is>
      </c>
      <c r="J18" s="44" t="inlineStr">
        <is>
          <t>https://www.gov.uk/government/collections/nottinghamshire-and-nottingham-local-government-reorganisation</t>
        </is>
      </c>
      <c r="K18" s="44" t="inlineStr">
        <is>
          <t>Chief Executive / Improvement Committee</t>
        </is>
      </c>
      <c r="L18" s="43" t="inlineStr">
        <is>
          <t>2026-08-04</t>
        </is>
      </c>
      <c r="M18" s="44" t="inlineStr">
        <is>
          <t>Planning horizon: shadow authority elections CONFIRMED May 2027 (SoS decision letter 16 July 2026, replacing scheduled local elections); Vesting Day targeted 1 April 2028.</t>
        </is>
      </c>
      <c r="N18" s="43" t="inlineStr">
        <is>
          <t>Monitoring</t>
        </is>
      </c>
      <c r="O18" s="44" t="inlineStr">
        <is>
          <t>A-004</t>
        </is>
      </c>
    </row>
    <row r="19" ht="40" customHeight="1" s="28">
      <c r="A19" s="46" t="inlineStr">
        <is>
          <t>OB-L4</t>
        </is>
      </c>
      <c r="B19" s="46" t="inlineStr">
        <is>
          <t>The internal audit plan must cover LGR transition risks including service demerger, asset and liability transfer, and governance during the shadow authority phase.</t>
        </is>
      </c>
      <c r="C19" s="46" t="inlineStr">
        <is>
          <t>CSIP Risk Management and Internal Audit programme; seeded OB-004</t>
        </is>
      </c>
      <c r="D19" s="46" t="inlineStr">
        <is>
          <t>LGR Transition</t>
        </is>
      </c>
      <c r="E19" s="46" t="inlineStr">
        <is>
          <t>Lynne Dowdican (Head of Internal Audit)</t>
        </is>
      </c>
      <c r="F19" s="45" t="inlineStr">
        <is>
          <t>High</t>
        </is>
      </c>
      <c r="G19" s="74" t="n">
        <v>46326</v>
      </c>
      <c r="H19" s="45" t="inlineStr">
        <is>
          <t>In progress</t>
        </is>
      </c>
      <c r="I19" s="46" t="inlineStr">
        <is>
          <t>Updated Internal Audit Annual Plan with an LGR transition section; Audit Committee approval.</t>
        </is>
      </c>
      <c r="J19" s="46" t="inlineStr"/>
      <c r="K19" s="46" t="inlineStr">
        <is>
          <t>Audit Committee</t>
        </is>
      </c>
      <c r="L19" s="45" t="inlineStr">
        <is>
          <t>2026-08-04</t>
        </is>
      </c>
      <c r="M19" s="46" t="inlineStr">
        <is>
          <t>Cross-track: also an Internal Controls obligation. Was the old OB-004.</t>
        </is>
      </c>
      <c r="N19" s="45" t="inlineStr">
        <is>
          <t>Periodic</t>
        </is>
      </c>
      <c r="O19" s="46" t="inlineStr">
        <is>
          <t>A-019</t>
        </is>
      </c>
    </row>
    <row r="20" ht="40" customHeight="1" s="28">
      <c r="A20" s="44" t="inlineStr">
        <is>
          <t>OB-L5</t>
        </is>
      </c>
      <c r="B20" s="44" t="inlineStr">
        <is>
          <t>NCC must review its governance, audit committee arrangements, and successor body governance in light of the English Devolution and Community Empowerment Act 2026 transparency and accountability codes.</t>
        </is>
      </c>
      <c r="C20" s="44" t="inlineStr">
        <is>
          <t>English Devolution and Community Empowerment Act 2026 (Royal Assent confirmed)</t>
        </is>
      </c>
      <c r="D20" s="44" t="inlineStr">
        <is>
          <t>Governance and Transparency</t>
        </is>
      </c>
      <c r="E20" s="44" t="inlineStr">
        <is>
          <t>Beth Brown (Strategic Director of Legal and Governance)</t>
        </is>
      </c>
      <c r="F20" s="43" t="inlineStr">
        <is>
          <t>Medium</t>
        </is>
      </c>
      <c r="G20" s="73" t="n">
        <v>46234</v>
      </c>
      <c r="H20" s="43" t="inlineStr">
        <is>
          <t>In progress</t>
        </is>
      </c>
      <c r="I20" s="44" t="inlineStr">
        <is>
          <t>Formal gap analysis report to the July 2026 Audit Committee verifying the successor-body governance framework matches the 2026 Act, referencing the relevant Act sections against the current Audit Committee Terms of Reference and the proposed successor body governance model.</t>
        </is>
      </c>
      <c r="J20" s="44" t="inlineStr"/>
      <c r="K20" s="44" t="inlineStr">
        <is>
          <t>Audit Committee</t>
        </is>
      </c>
      <c r="L20" s="43" t="inlineStr">
        <is>
          <t>2026-08-04</t>
        </is>
      </c>
      <c r="M20" s="44" t="inlineStr">
        <is>
          <t>LGR legislative track. Detailed implementation timeline firms up as statutory guidance is issued. Was the old OB-001.</t>
        </is>
      </c>
      <c r="N20" s="43" t="inlineStr">
        <is>
          <t>Periodic</t>
        </is>
      </c>
      <c r="O20" s="44" t="inlineStr">
        <is>
          <t>A-008</t>
        </is>
      </c>
    </row>
    <row r="21" ht="40" customHeight="1" s="28">
      <c r="A21" s="46" t="inlineStr">
        <is>
          <t>OB-L6</t>
        </is>
      </c>
      <c r="B21" s="46" t="inlineStr">
        <is>
          <t>On issue of the final Statutory Boundary Order, the Section 151 Officer must review asset and liability arrangements for any items planned for transfer to the new unitary authority.</t>
        </is>
      </c>
      <c r="C21" s="46" t="inlineStr">
        <is>
          <t>Statutory Boundary Order for the Nottingham/Nottinghamshire unitary structure (pending)</t>
        </is>
      </c>
      <c r="D21" s="46" t="inlineStr">
        <is>
          <t>LGR Transition</t>
        </is>
      </c>
      <c r="E21" s="46" t="inlineStr">
        <is>
          <t>Stuart Fair (Corporate Director for Finance and Resources, S151)</t>
        </is>
      </c>
      <c r="F21" s="45" t="inlineStr">
        <is>
          <t>High</t>
        </is>
      </c>
      <c r="G21" s="45" t="inlineStr"/>
      <c r="H21" s="45" t="inlineStr">
        <is>
          <t>Not started</t>
        </is>
      </c>
      <c r="I21" s="46" t="inlineStr">
        <is>
          <t>S151 finance review of asset and liability transfer arrangements; report to Audit / Improvement Committee.</t>
        </is>
      </c>
      <c r="J21" s="46" t="inlineStr"/>
      <c r="K21" s="46" t="inlineStr">
        <is>
          <t>Section 151 Officer / Audit Committee</t>
        </is>
      </c>
      <c r="L21" s="45" t="inlineStr">
        <is>
          <t>2026-08-04</t>
        </is>
      </c>
      <c r="M21" s="46" t="inlineStr">
        <is>
          <t>TRIGGER PENDING: this obligation only becomes live when the final Statutory Boundary Order is published (Guide Part 6). It is a formal finance review obligation, not a freeze of the asset registry — that remains the S151 Officer's decision. Set the Target Date when the order lands.</t>
        </is>
      </c>
      <c r="N21" s="45" t="inlineStr">
        <is>
          <t>Periodic</t>
        </is>
      </c>
      <c r="O21" s="46" t="inlineStr">
        <is>
          <t>A-020</t>
        </is>
      </c>
    </row>
    <row r="22" ht="40" customHeight="1" s="28">
      <c r="A22" s="44" t="inlineStr">
        <is>
          <t>OB-L7</t>
        </is>
      </c>
      <c r="B22" s="44" t="inlineStr">
        <is>
          <t>NCC must optimize regional demerger models to comply with newly issued national administrative transformation frameworks.</t>
        </is>
      </c>
      <c r="C22" s="44" t="inlineStr">
        <is>
          <t>Local government reorganisation: implementation guidance GOV.UK (8 June 2026)</t>
        </is>
      </c>
      <c r="D22" s="44" t="inlineStr">
        <is>
          <t>LGR Transition</t>
        </is>
      </c>
      <c r="E22" s="44" t="inlineStr">
        <is>
          <t>James Rhodes (Director of Policy, Performance and Communications)</t>
        </is>
      </c>
      <c r="F22" s="43" t="inlineStr">
        <is>
          <t>Medium</t>
        </is>
      </c>
      <c r="G22" s="43" t="inlineStr"/>
      <c r="H22" s="43" t="inlineStr">
        <is>
          <t>Ongoing</t>
        </is>
      </c>
      <c r="I22" s="44" t="inlineStr">
        <is>
          <t>LGR working team minutes detailing structural compliance parameters mapped against the June 2026 layout guides.</t>
        </is>
      </c>
      <c r="J22" s="44" t="inlineStr">
        <is>
          <t>https://www.gov.uk/government/publications/local-government-reorganisation-implementation-guidance</t>
        </is>
      </c>
      <c r="K22" s="44" t="inlineStr">
        <is>
          <t>Chief Executive / Improvement Committee</t>
        </is>
      </c>
      <c r="L22" s="43" t="inlineStr">
        <is>
          <t>2026-08-04</t>
        </is>
      </c>
      <c r="M22" s="44" t="inlineStr">
        <is>
          <t>NEW GUIDANCE INCORPORATION: ensures technical migration alignment with central criteria.</t>
        </is>
      </c>
      <c r="N22" s="43" t="inlineStr">
        <is>
          <t>Monitoring</t>
        </is>
      </c>
      <c r="O22" s="44" t="inlineStr">
        <is>
          <t>A-007</t>
        </is>
      </c>
    </row>
    <row r="23" ht="40" customHeight="1" s="28">
      <c r="A23" s="46" t="inlineStr">
        <is>
          <t>OB-L8</t>
        </is>
      </c>
      <c r="B23" s="46" t="inlineStr">
        <is>
          <t>NCC must track the MHCLG Devolution Framework Explainers and assess how the statutory functions they set out for Strategic Authorities shape the operating model of the new unitary authorities.</t>
        </is>
      </c>
      <c r="C23" s="46" t="inlineStr">
        <is>
          <t>English Devolution and Community Empowerment Act 2026: Devolution Framework Explainers, MHCLG (last updated 8 June 2026)</t>
        </is>
      </c>
      <c r="D23" s="46" t="inlineStr">
        <is>
          <t>LGR Transition</t>
        </is>
      </c>
      <c r="E23" s="46" t="inlineStr">
        <is>
          <t>James Rhodes (Director of Policy, Performance and Communications)</t>
        </is>
      </c>
      <c r="F23" s="45" t="inlineStr">
        <is>
          <t>Medium</t>
        </is>
      </c>
      <c r="G23" s="74" t="n">
        <v>46326</v>
      </c>
      <c r="H23" s="45" t="inlineStr">
        <is>
          <t>Not started</t>
        </is>
      </c>
      <c r="I23" s="46" t="inlineStr">
        <is>
          <t>Gap analysis mapping NCC service lines against the Strategic Authority functions in the Explainers, reported to the LGR programme board.</t>
        </is>
      </c>
      <c r="J23" s="46" t="inlineStr">
        <is>
          <t>https://www.gov.uk/government/publications/english-devolution-and-community-empowerment-bill-devolution-framework-explainers</t>
        </is>
      </c>
      <c r="K23" s="46" t="inlineStr">
        <is>
          <t>Chief Executive / Improvement Committee</t>
        </is>
      </c>
      <c r="L23" s="45" t="inlineStr">
        <is>
          <t>2026-08-04</t>
        </is>
      </c>
      <c r="M23" s="46" t="inlineStr">
        <is>
          <t>SCOPE NOTE: the Explainers set out the statutory functions of STRATEGIC AUTHORITIES. NCC is not a Strategic Authority — EMCCA is — so these are not a duty on NCC directly. They matter because the new unitaries will be constituent councils of EMCCA, so the Explainers define the boundary between what EMCCA holds and what the unitaries hold. Monitoring, not compliance.</t>
        </is>
      </c>
      <c r="N23" s="45" t="inlineStr">
        <is>
          <t>Monitoring</t>
        </is>
      </c>
      <c r="O23" s="46" t="inlineStr">
        <is>
          <t>A-033</t>
        </is>
      </c>
    </row>
  </sheetData>
  <autoFilter ref="A1:O23"/>
  <dataValidations count="3">
    <dataValidation sqref="F2:F500" showDropDown="0" showInputMessage="0" showErrorMessage="0" allowBlank="1" type="list">
      <formula1>"High,Medium,Low"</formula1>
    </dataValidation>
    <dataValidation sqref="H2:H500" showDropDown="0" showInputMessage="0" showErrorMessage="0" allowBlank="1" type="list">
      <formula1>"Not started,In progress,Complete,Blocked,Ongoing"</formula1>
    </dataValidation>
    <dataValidation sqref="N2:N500" showDropDown="0" showInputMessage="0" showErrorMessage="0" allowBlank="1" type="list">
      <formula1>"Enduring,Periodic,Monitoring,Statutory"</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5"/>
  <sheetViews>
    <sheetView topLeftCell="A1" zoomScaleNormal="100" workbookViewId="0">
      <pane xSplit="2" ySplit="1" topLeftCell="C2" activePane="bottomRight" state="frozen"/>
      <selection pane="topRight" activeCell="A1" sqref="A1"/>
      <selection pane="bottomLeft" activeCell="A1" sqref="A1"/>
      <selection pane="bottomRight" activeCell="C2" sqref="C2"/>
      <selection pane="bottomLeft" activeCell="A1" sqref="A1"/>
      <selection pane="bottomRight" activeCell="C2" sqref="C2"/>
      <selection pane="bottomLeft" activeCell="A1" sqref="A1"/>
      <selection pane="bottomRight" activeCell="C2" sqref="C2"/>
      <selection pane="bottomLeft" activeCell="A1" sqref="A1"/>
      <selection pane="bottomRight" activeCell="C2" sqref="C2"/>
    </sheetView>
  </sheetViews>
  <sheetFormatPr baseColWidth="8" defaultRowHeight="14.4"/>
  <cols>
    <col width="10" customWidth="1" style="28" min="1" max="1"/>
    <col width="12" customWidth="1" style="28" min="2" max="2"/>
    <col width="46" customWidth="1" style="28" min="3" max="3"/>
    <col width="22" customWidth="1" style="28" min="4" max="4"/>
    <col width="10" customWidth="1" style="2" min="5" max="5"/>
    <col width="10" customWidth="1" style="1" min="6" max="6"/>
    <col width="12" customWidth="1" style="2" min="7" max="7"/>
    <col width="9" customWidth="1" style="2" min="8" max="8"/>
    <col width="28" customWidth="1" style="28" min="9" max="9"/>
    <col width="40" customWidth="1" style="28" min="10" max="10"/>
    <col width="18" customWidth="1" style="28" min="11" max="12"/>
    <col width="18" customWidth="1" style="28" min="12" max="12"/>
  </cols>
  <sheetData>
    <row r="1" ht="30" customHeight="1" s="28">
      <c r="A1" s="42" t="inlineStr">
        <is>
          <t>Action ID</t>
        </is>
      </c>
      <c r="B1" s="42" t="inlineStr">
        <is>
          <t>Parent Obligation ID</t>
        </is>
      </c>
      <c r="C1" s="42" t="inlineStr">
        <is>
          <t>Action</t>
        </is>
      </c>
      <c r="D1" s="42" t="inlineStr">
        <is>
          <t>Owner</t>
        </is>
      </c>
      <c r="E1" s="42" t="inlineStr">
        <is>
          <t>Start Date</t>
        </is>
      </c>
      <c r="F1" s="42" t="inlineStr">
        <is>
          <t>Due Date</t>
        </is>
      </c>
      <c r="G1" s="42" t="inlineStr">
        <is>
          <t>Status</t>
        </is>
      </c>
      <c r="H1" s="42" t="inlineStr">
        <is>
          <t>Percent Complete</t>
        </is>
      </c>
      <c r="I1" s="42" t="inlineStr">
        <is>
          <t>Evidence Link</t>
        </is>
      </c>
      <c r="J1" s="42" t="inlineStr">
        <is>
          <t>Notes</t>
        </is>
      </c>
      <c r="K1" s="42" t="n"/>
      <c r="L1" s="42" t="n"/>
    </row>
    <row r="2" ht="40" customHeight="1" s="28">
      <c r="A2" s="44" t="inlineStr">
        <is>
          <t>A-001</t>
        </is>
      </c>
      <c r="B2" s="44" t="inlineStr">
        <is>
          <t>OB-A11</t>
        </is>
      </c>
      <c r="C2" s="44" t="inlineStr">
        <is>
          <t>Publish a benchmarking exercise comparing NCC's contract exemption rates against neighbouring Nottinghamshire authorities.</t>
        </is>
      </c>
      <c r="D2" s="44" t="inlineStr">
        <is>
          <t>A Spice / D Cafferty (Procurement)</t>
        </is>
      </c>
      <c r="E2" s="43" t="inlineStr"/>
      <c r="F2" s="73" t="n">
        <v>46234</v>
      </c>
      <c r="G2" s="43" t="inlineStr">
        <is>
          <t>Not started</t>
        </is>
      </c>
      <c r="H2" s="43" t="n">
        <v>0</v>
      </c>
      <c r="I2" s="44" t="inlineStr"/>
      <c r="J2" s="44" t="inlineStr">
        <is>
          <t>OB-A11.1 — Contract Procedure Rules Exemption Benchmarking. Evidence: formal benchmarking appendix in the Procurement Annual Report. Target: July 2026 Audit Committee.</t>
        </is>
      </c>
      <c r="K2" s="44" t="n"/>
      <c r="L2" s="44" t="n"/>
    </row>
    <row r="3" ht="40" customHeight="1" s="28">
      <c r="A3" s="46" t="inlineStr">
        <is>
          <t>A-002</t>
        </is>
      </c>
      <c r="B3" s="46" t="inlineStr">
        <is>
          <t>OB-A11</t>
        </is>
      </c>
      <c r="C3" s="46" t="inlineStr">
        <is>
          <t>Provide a clarification note splitting debt and investments between the General Fund and the Housing Revenue Account (HRA) in Table 5 of the Treasury Management Report.</t>
        </is>
      </c>
      <c r="D3" s="46" t="inlineStr">
        <is>
          <t>Gareth Robinson (Director of Finance)</t>
        </is>
      </c>
      <c r="E3" s="74" t="n">
        <v>46127</v>
      </c>
      <c r="F3" s="74" t="n">
        <v>46203</v>
      </c>
      <c r="G3" s="45" t="inlineStr">
        <is>
          <t>Complete</t>
        </is>
      </c>
      <c r="H3" s="45" t="n">
        <v>100</v>
      </c>
      <c r="I3" s="46" t="inlineStr">
        <is>
          <t>nottinghamcity.gov.uk</t>
        </is>
      </c>
      <c r="J3" s="46" t="inlineStr">
        <is>
          <t>OB-A11.2 — Treasury Management Table 5 Clarification. Evidence: signed addendum note or updated table in the finalised Treasury Management Strategy. Target: June 2026 Audit Committee.</t>
        </is>
      </c>
      <c r="K3" s="46" t="n"/>
      <c r="L3" s="46" t="n"/>
    </row>
    <row r="4" ht="40" customHeight="1" s="28">
      <c r="A4" s="44" t="inlineStr">
        <is>
          <t>A-003</t>
        </is>
      </c>
      <c r="B4" s="44" t="inlineStr">
        <is>
          <t>OB-A11</t>
        </is>
      </c>
      <c r="C4" s="44" t="inlineStr">
        <is>
          <t>Provide a formal briefing note once legal advice on UN PRI (Principles for Responsible Investment) and UNGP (UN Guiding Principles) compliance frameworks is received.</t>
        </is>
      </c>
      <c r="D4" s="44" t="inlineStr">
        <is>
          <t>Beth Brown (Strategic Director of Legal and Governance)</t>
        </is>
      </c>
      <c r="E4" s="43" t="inlineStr"/>
      <c r="F4" s="73" t="n">
        <v>46203</v>
      </c>
      <c r="G4" s="43" t="inlineStr">
        <is>
          <t>Not started</t>
        </is>
      </c>
      <c r="H4" s="43" t="n">
        <v>0</v>
      </c>
      <c r="I4" s="44" t="inlineStr"/>
      <c r="J4" s="44" t="inlineStr">
        <is>
          <t>OB-A11.3 — UN PRI and UNGP Legal Briefing. Evidence: distributed legal briefing note; logged in committee minutes or correspondence record. Target: June 2026 Audit Committee.</t>
        </is>
      </c>
      <c r="K4" s="44" t="n"/>
      <c r="L4" s="44" t="n"/>
    </row>
    <row r="5" ht="40" customHeight="1" s="28">
      <c r="A5" s="46" t="inlineStr">
        <is>
          <t>A-004</t>
        </is>
      </c>
      <c r="B5" s="46" t="inlineStr">
        <is>
          <t>OB-L3</t>
        </is>
      </c>
      <c r="C5" s="46" t="inlineStr">
        <is>
          <t>Scope and procure the day-one IT systems and data migration required for the new unitary authority.</t>
        </is>
      </c>
      <c r="D5" s="46" t="inlineStr">
        <is>
          <t>James Rhodes (Director of Policy, Performance and Communications)</t>
        </is>
      </c>
      <c r="E5" s="74" t="n">
        <v>46174</v>
      </c>
      <c r="F5" s="74" t="n">
        <v>46446</v>
      </c>
      <c r="G5" s="45" t="inlineStr">
        <is>
          <t>Not started</t>
        </is>
      </c>
      <c r="H5" s="45" t="n">
        <v>0</v>
      </c>
      <c r="I5" s="46" t="inlineStr"/>
      <c r="J5" s="46" t="inlineStr">
        <is>
          <t>Demonstrates the Part 9 cross-track financial gateway: this LGR action involves procurement / IT system migration, so the S151 sign-off note is attached automatically.  ⚠️ Procurement/capital action: requires Section 151 sign-off under current spending controls before proceeding. Confirm with Stuart Fair or Gareth Robinson.</t>
        </is>
      </c>
      <c r="K5" s="46" t="n"/>
      <c r="L5" s="46" t="n"/>
    </row>
    <row r="6" ht="40" customHeight="1" s="28">
      <c r="A6" s="44" t="inlineStr">
        <is>
          <t>A-005</t>
        </is>
      </c>
      <c r="B6" s="44" t="inlineStr">
        <is>
          <t>OB-A10</t>
        </is>
      </c>
      <c r="C6" s="44" t="inlineStr">
        <is>
          <t>Prepare an Audit Committee briefing note on the LAO transition and its implications for NCC's PSAA-procured audit contract, which now runs to 2030.</t>
        </is>
      </c>
      <c r="D6" s="44" t="inlineStr">
        <is>
          <t>Lynne Dowdican (Head of Internal Audit)</t>
        </is>
      </c>
      <c r="E6" s="43" t="inlineStr"/>
      <c r="F6" s="73" t="n">
        <v>46295</v>
      </c>
      <c r="G6" s="43" t="inlineStr">
        <is>
          <t>Not started</t>
        </is>
      </c>
      <c r="H6" s="43" t="n">
        <v>0</v>
      </c>
      <c r="I6" s="44" t="inlineStr">
        <is>
          <t>https://assets.publishing.service.gov.uk/media/6926f871345e31ab14ecf524/Local_Audit_Transition_Plan.pdf</t>
        </is>
      </c>
      <c r="J6" s="44" t="inlineStr">
        <is>
          <t>Supports OB-A10. Milestones from the MHCLG Local Audit Transition Plan (Nov 2025), Annex A: LAO legally established Autumn 2026; auditor appointment and contracting duties, PSAA staff and the existing contracts transfer to the LAO Spring 2027. Bill Butler CONFIRMED as LAO Chair from 1 July 2026 (was recorded as preferred candidate).</t>
        </is>
      </c>
      <c r="K6" s="44" t="n"/>
      <c r="L6" s="44" t="n"/>
    </row>
    <row r="7" ht="40" customHeight="1" s="28">
      <c r="A7" s="46" t="inlineStr">
        <is>
          <t>A-006</t>
        </is>
      </c>
      <c r="B7" s="46" t="inlineStr">
        <is>
          <t>OB-A12</t>
        </is>
      </c>
      <c r="C7" s="46" t="inlineStr">
        <is>
          <t>Review structural transitional reporting regulations issued by the preferred LAO Chair candidate and adjust internal audit backstop clearance milestones accordingly.</t>
        </is>
      </c>
      <c r="D7" s="46" t="inlineStr">
        <is>
          <t>Lynne Dowdican (Head of Internal Audit)</t>
        </is>
      </c>
      <c r="E7" s="74" t="n">
        <v>46182</v>
      </c>
      <c r="F7" s="74" t="n">
        <v>46295</v>
      </c>
      <c r="G7" s="45" t="inlineStr">
        <is>
          <t>Not started</t>
        </is>
      </c>
      <c r="H7" s="45" t="n">
        <v>0</v>
      </c>
      <c r="I7" s="46" t="inlineStr"/>
      <c r="J7" s="46" t="inlineStr">
        <is>
          <t>NEW ACTION: Leverages 8 June 2026 intelligence on Bill Butler's framework metrics.</t>
        </is>
      </c>
      <c r="K7" s="46" t="n"/>
      <c r="L7" s="46" t="n"/>
    </row>
    <row r="8" ht="40" customHeight="1" s="28">
      <c r="A8" s="44" t="inlineStr">
        <is>
          <t>A-007</t>
        </is>
      </c>
      <c r="B8" s="44" t="inlineStr">
        <is>
          <t>OB-L7</t>
        </is>
      </c>
      <c r="C8" s="44" t="inlineStr">
        <is>
          <t>Perform an internal option appraisal to cross-examine whether the newly introduced June 2026 GOV.UK reorganisation layout guidance changes boundary line migration costings.</t>
        </is>
      </c>
      <c r="D8" s="44" t="inlineStr">
        <is>
          <t>James Rhodes (Director of Policy, Performance and Communications)</t>
        </is>
      </c>
      <c r="E8" s="73" t="n">
        <v>46182</v>
      </c>
      <c r="F8" s="73" t="n">
        <v>46265</v>
      </c>
      <c r="G8" s="43" t="inlineStr">
        <is>
          <t>Not started</t>
        </is>
      </c>
      <c r="H8" s="43" t="n">
        <v>0</v>
      </c>
      <c r="I8" s="44" t="inlineStr"/>
      <c r="J8" s="44" t="inlineStr">
        <is>
          <t>NEW ACTION: Triggered by 8 June 2026 GOV.UK Implementation Guidance paper updates.</t>
        </is>
      </c>
      <c r="K8" s="44" t="n"/>
      <c r="L8" s="44" t="n"/>
    </row>
    <row r="9" ht="40" customHeight="1" s="28">
      <c r="A9" s="46" t="inlineStr">
        <is>
          <t>A-008</t>
        </is>
      </c>
      <c r="B9" s="46" t="inlineStr">
        <is>
          <t>OB-L5</t>
        </is>
      </c>
      <c r="C9" s="46" t="inlineStr">
        <is>
          <t>Draft the formal accountability framework and code alignment overview mandated by the recent Royal Assent confirmation of the English Devolution Act.</t>
        </is>
      </c>
      <c r="D9" s="46" t="inlineStr">
        <is>
          <t>Beth Brown (Strategic Director of Legal and Governance)</t>
        </is>
      </c>
      <c r="E9" s="74" t="n">
        <v>46182</v>
      </c>
      <c r="F9" s="74" t="n">
        <v>46234</v>
      </c>
      <c r="G9" s="45" t="inlineStr">
        <is>
          <t>Not started</t>
        </is>
      </c>
      <c r="H9" s="45" t="n">
        <v>0</v>
      </c>
      <c r="I9" s="46" t="inlineStr"/>
      <c r="J9" s="46" t="inlineStr">
        <is>
          <t>NEW ACTION: Directly links legislative confirmation of Act 2026 to the July 2026 Audit Committee agenda.</t>
        </is>
      </c>
      <c r="K9" s="46" t="n"/>
      <c r="L9" s="46" t="n"/>
    </row>
    <row r="10" ht="40" customHeight="1" s="28">
      <c r="A10" s="44" t="inlineStr">
        <is>
          <t>A-009</t>
        </is>
      </c>
      <c r="B10" s="44" t="inlineStr">
        <is>
          <t>OB-A2</t>
        </is>
      </c>
      <c r="C10" s="44" t="inlineStr">
        <is>
          <t>Coordinate final verification review and ensure physical sign-off endorsement of the complete CSIP text block by Ministerial Envoys.</t>
        </is>
      </c>
      <c r="D10" s="44" t="inlineStr">
        <is>
          <t>Sajeeda Rose (Chief Executive)</t>
        </is>
      </c>
      <c r="E10" s="73" t="n">
        <v>46178</v>
      </c>
      <c r="F10" s="73" t="n">
        <v>46197</v>
      </c>
      <c r="G10" s="43" t="inlineStr">
        <is>
          <t>In progress</t>
        </is>
      </c>
      <c r="H10" s="43" t="n">
        <v>50</v>
      </c>
      <c r="I10" s="44" t="inlineStr"/>
      <c r="J10" s="44" t="inlineStr">
        <is>
          <t>NEW ACTION: Drives the immediate execution threshold for the statutory 3-month target deadline.</t>
        </is>
      </c>
      <c r="K10" s="44" t="n"/>
      <c r="L10" s="44" t="n"/>
    </row>
    <row r="11" ht="40" customHeight="1" s="28">
      <c r="A11" s="46" t="inlineStr">
        <is>
          <t>A-010</t>
        </is>
      </c>
      <c r="B11" s="46" t="inlineStr">
        <is>
          <t>OB-A3</t>
        </is>
      </c>
      <c r="C11" s="46" t="inlineStr">
        <is>
          <t>Review financial management, savings delivery, accounts production, and capital programme improvements at the six-monthly Improvement Committee report and record the check.</t>
        </is>
      </c>
      <c r="D11" s="46" t="inlineStr">
        <is>
          <t>Stuart Fair (Corporate Director for Finance and Resources, S151)</t>
        </is>
      </c>
      <c r="E11" s="74" t="n">
        <v>46214</v>
      </c>
      <c r="F11" s="74" t="n">
        <v>46387</v>
      </c>
      <c r="G11" s="45" t="inlineStr">
        <is>
          <t>In progress</t>
        </is>
      </c>
      <c r="H11" s="45" t="n">
        <v>0</v>
      </c>
      <c r="I11" s="46" t="inlineStr"/>
      <c r="J11" s="46" t="inlineStr">
        <is>
          <t>Standing Monitor action — six-monthly cycle; roll the due date forward after each review.</t>
        </is>
      </c>
      <c r="K11" s="46" t="n"/>
      <c r="L11" s="46" t="n"/>
    </row>
    <row r="12" ht="40" customHeight="1" s="28">
      <c r="A12" s="44" t="inlineStr">
        <is>
          <t>A-011</t>
        </is>
      </c>
      <c r="B12" s="44" t="inlineStr">
        <is>
          <t>OB-A4</t>
        </is>
      </c>
      <c r="C12" s="44" t="inlineStr">
        <is>
          <t>Review scrutiny and decision-making improvements at each Improvement Committee report and record the check, filing Corporate Scrutiny papers and Scheme of Delegation updates as evidence.</t>
        </is>
      </c>
      <c r="D12" s="44" t="inlineStr">
        <is>
          <t>Beth Brown (Strategic Director of Legal and Governance)</t>
        </is>
      </c>
      <c r="E12" s="73" t="n">
        <v>46214</v>
      </c>
      <c r="F12" s="73" t="n">
        <v>46387</v>
      </c>
      <c r="G12" s="43" t="inlineStr">
        <is>
          <t>In progress</t>
        </is>
      </c>
      <c r="H12" s="43" t="n">
        <v>0</v>
      </c>
      <c r="I12" s="44" t="inlineStr"/>
      <c r="J12" s="44" t="inlineStr">
        <is>
          <t>Standing Monitor action — roll the due date forward after each review.</t>
        </is>
      </c>
      <c r="K12" s="44" t="n"/>
      <c r="L12" s="44" t="n"/>
    </row>
    <row r="13" ht="40" customHeight="1" s="28">
      <c r="A13" s="46" t="inlineStr">
        <is>
          <t>A-012</t>
        </is>
      </c>
      <c r="B13" s="46" t="inlineStr">
        <is>
          <t>OB-A5</t>
        </is>
      </c>
      <c r="C13" s="46" t="inlineStr">
        <is>
          <t>Prepare the internal audit alignment note against Local Audit Office standards and guidance, and present progress reports at each Audit Committee.</t>
        </is>
      </c>
      <c r="D13" s="46" t="inlineStr">
        <is>
          <t>Lynne Dowdican (Head of Internal Audit)</t>
        </is>
      </c>
      <c r="E13" s="74" t="n">
        <v>46214</v>
      </c>
      <c r="F13" s="74" t="n">
        <v>46234</v>
      </c>
      <c r="G13" s="45" t="inlineStr">
        <is>
          <t>In progress</t>
        </is>
      </c>
      <c r="H13" s="45" t="n">
        <v>0</v>
      </c>
      <c r="I13" s="46" t="inlineStr"/>
      <c r="J13" s="46" t="inlineStr">
        <is>
          <t>First deliverable under the standing CSIP internal-audit obligation; target the July 2026 Audit Committee.</t>
        </is>
      </c>
      <c r="K13" s="46" t="n"/>
      <c r="L13" s="46" t="n"/>
    </row>
    <row r="14" ht="40" customHeight="1" s="28">
      <c r="A14" s="44" t="inlineStr">
        <is>
          <t>A-013</t>
        </is>
      </c>
      <c r="B14" s="44" t="inlineStr">
        <is>
          <t>OB-A6</t>
        </is>
      </c>
      <c r="C14" s="44" t="inlineStr">
        <is>
          <t>Record Ministerial Envoy attendance and the council's responses to Envoy recommendations at each Improvement Committee meeting.</t>
        </is>
      </c>
      <c r="D14" s="44" t="inlineStr">
        <is>
          <t>Sajeeda Rose (Chief Executive)</t>
        </is>
      </c>
      <c r="E14" s="73" t="n">
        <v>46214</v>
      </c>
      <c r="F14" s="73" t="n">
        <v>46295</v>
      </c>
      <c r="G14" s="43" t="inlineStr">
        <is>
          <t>In progress</t>
        </is>
      </c>
      <c r="H14" s="43" t="n">
        <v>0</v>
      </c>
      <c r="I14" s="44" t="inlineStr"/>
      <c r="J14" s="44" t="inlineStr">
        <is>
          <t>Standing Engage action — evidence accrues each committee cycle.</t>
        </is>
      </c>
      <c r="K14" s="44" t="n"/>
      <c r="L14" s="44" t="n"/>
    </row>
    <row r="15" ht="40" customHeight="1" s="28">
      <c r="A15" s="46" t="inlineStr">
        <is>
          <t>A-014</t>
        </is>
      </c>
      <c r="B15" s="46" t="inlineStr">
        <is>
          <t>OB-A7</t>
        </is>
      </c>
      <c r="C15" s="46" t="inlineStr">
        <is>
          <t>Produce the management response document to each recommendation in the external auditor's Annual Report (ISA 260) and secure the Audit Committee acceptance minute.</t>
        </is>
      </c>
      <c r="D15" s="46" t="inlineStr">
        <is>
          <t>Gareth Robinson (Director of Finance)</t>
        </is>
      </c>
      <c r="E15" s="74" t="n">
        <v>46214</v>
      </c>
      <c r="F15" s="74" t="n">
        <v>46234</v>
      </c>
      <c r="G15" s="45" t="inlineStr">
        <is>
          <t>In progress</t>
        </is>
      </c>
      <c r="H15" s="45" t="n">
        <v>0</v>
      </c>
      <c r="I15" s="46" t="inlineStr"/>
      <c r="J15" s="46" t="inlineStr">
        <is>
          <t>Delivers OB-A7 at the July 2026 Audit Committee cycle.</t>
        </is>
      </c>
      <c r="K15" s="46" t="n"/>
      <c r="L15" s="46" t="n"/>
    </row>
    <row r="16" ht="40" customHeight="1" s="28">
      <c r="A16" s="44" t="inlineStr">
        <is>
          <t>A-015</t>
        </is>
      </c>
      <c r="B16" s="44" t="inlineStr">
        <is>
          <t>OB-A8</t>
        </is>
      </c>
      <c r="C16" s="44" t="inlineStr">
        <is>
          <t>Produce and publish the 2024/25 Statement of Accounts with the auditor's opinion (noting any disclaimer), and link the specific year's document on the accounts page as evidence.</t>
        </is>
      </c>
      <c r="D16" s="44" t="inlineStr">
        <is>
          <t>Stuart Fair (Corporate Director for Finance and Resources, S151)</t>
        </is>
      </c>
      <c r="E16" s="73" t="n">
        <v>46214</v>
      </c>
      <c r="F16" s="73" t="n">
        <v>46295</v>
      </c>
      <c r="G16" s="43" t="inlineStr">
        <is>
          <t>In progress</t>
        </is>
      </c>
      <c r="H16" s="43" t="n">
        <v>0</v>
      </c>
      <c r="I16" s="44" t="inlineStr"/>
      <c r="J16" s="44" t="inlineStr">
        <is>
          <t>Recurring Produce action under the enduring Accounts and Audit Regulations duty — repeats each reporting year.</t>
        </is>
      </c>
      <c r="K16" s="44" t="n"/>
      <c r="L16" s="44" t="n"/>
    </row>
    <row r="17" ht="40" customHeight="1" s="28">
      <c r="A17" s="46" t="inlineStr">
        <is>
          <t>A-016</t>
        </is>
      </c>
      <c r="B17" s="46" t="inlineStr">
        <is>
          <t>OB-A9</t>
        </is>
      </c>
      <c r="C17" s="46" t="inlineStr">
        <is>
          <t>Secure Audit Committee approval of the published draft Annual Governance Statement 2024/25 and link the approval minute as evidence.</t>
        </is>
      </c>
      <c r="D17" s="46" t="inlineStr">
        <is>
          <t>Beth Brown (Strategic Director of Legal and Governance)</t>
        </is>
      </c>
      <c r="E17" s="74" t="n">
        <v>46214</v>
      </c>
      <c r="F17" s="74" t="n">
        <v>46234</v>
      </c>
      <c r="G17" s="45" t="inlineStr">
        <is>
          <t>In progress</t>
        </is>
      </c>
      <c r="H17" s="45" t="n">
        <v>50</v>
      </c>
      <c r="I17" s="46" t="inlineStr"/>
      <c r="J17" s="46" t="inlineStr">
        <is>
          <t>Draft AGS confirmed published online; remaining step is the approval minute at the July 2026 Audit Committee.</t>
        </is>
      </c>
      <c r="K17" s="46" t="n"/>
      <c r="L17" s="46" t="n"/>
    </row>
    <row r="18" ht="40" customHeight="1" s="28">
      <c r="A18" s="44" t="inlineStr">
        <is>
          <t>A-017</t>
        </is>
      </c>
      <c r="B18" s="44" t="inlineStr">
        <is>
          <t>OB-L1</t>
        </is>
      </c>
      <c r="C18" s="44" t="inlineStr">
        <is>
          <t>File joint LGR committee papers, transition programme updates to the Improvement Committee, and cooperation records with the other Nottinghamshire councils each committee cycle.</t>
        </is>
      </c>
      <c r="D18" s="44" t="inlineStr">
        <is>
          <t>James Rhodes (Director of Policy, Performance and Communications)</t>
        </is>
      </c>
      <c r="E18" s="73" t="n">
        <v>46214</v>
      </c>
      <c r="F18" s="73" t="n">
        <v>46295</v>
      </c>
      <c r="G18" s="43" t="inlineStr">
        <is>
          <t>In progress</t>
        </is>
      </c>
      <c r="H18" s="43" t="n">
        <v>0</v>
      </c>
      <c r="I18" s="44" t="inlineStr"/>
      <c r="J18" s="44" t="inlineStr">
        <is>
          <t>Standing Engage action for the joint LGR programme.</t>
        </is>
      </c>
      <c r="K18" s="44" t="n"/>
      <c r="L18" s="44" t="n"/>
    </row>
    <row r="19" ht="40" customHeight="1" s="28">
      <c r="A19" s="46" t="inlineStr">
        <is>
          <t>A-018</t>
        </is>
      </c>
      <c r="B19" s="46" t="inlineStr">
        <is>
          <t>OB-L2</t>
        </is>
      </c>
      <c r="C19" s="46" t="inlineStr">
        <is>
          <t>Monitor MHCLG announcements for the LGR consultation decision and the Statutory Boundary Order; on publication, set OB-L6's target date and notify the Section 151 Officer immediately.</t>
        </is>
      </c>
      <c r="D19" s="46" t="inlineStr">
        <is>
          <t>James Rhodes (Director of Policy, Performance and Communications)</t>
        </is>
      </c>
      <c r="E19" s="74" t="n">
        <v>46214</v>
      </c>
      <c r="F19" s="74" t="n">
        <v>46265</v>
      </c>
      <c r="G19" s="45" t="inlineStr">
        <is>
          <t>In progress</t>
        </is>
      </c>
      <c r="H19" s="45" t="n">
        <v>40</v>
      </c>
      <c r="I19" s="46" t="inlineStr">
        <is>
          <t>https://assets.publishing.service.gov.uk/media/6a58d3105ca06bf11ccb42f9/Local_government_reorganisation_-_decision_letter_to_Nottinghamshire_and_Nottingham_council_leaders.pdf</t>
        </is>
      </c>
      <c r="J19" s="46" t="inlineStr">
        <is>
          <t>Consultation decision half done: SoS confirmed the two-unitary option on 16 July 2026 (Southwest / North and East, elections May 2027). Still monitoring for the Structural Changes Order itself, which officials said would follow separately and remains subject to Parliamentary approval — that is what triggers OB-L6 (Guide Part 12).</t>
        </is>
      </c>
      <c r="K19" s="46" t="n"/>
      <c r="L19" s="46" t="n"/>
    </row>
    <row r="20" ht="40" customHeight="1" s="28">
      <c r="A20" s="44" t="inlineStr">
        <is>
          <t>A-019</t>
        </is>
      </c>
      <c r="B20" s="44" t="inlineStr">
        <is>
          <t>OB-L4</t>
        </is>
      </c>
      <c r="C20" s="44" t="inlineStr">
        <is>
          <t>Update the Internal Audit Annual Plan with an LGR transition risk section (service demerger, asset and liability transfer, shadow authority governance) and secure Audit Committee approval.</t>
        </is>
      </c>
      <c r="D20" s="44" t="inlineStr">
        <is>
          <t>Lynne Dowdican (Head of Internal Audit)</t>
        </is>
      </c>
      <c r="E20" s="73" t="n">
        <v>46214</v>
      </c>
      <c r="F20" s="73" t="n">
        <v>46326</v>
      </c>
      <c r="G20" s="43" t="inlineStr">
        <is>
          <t>Not started</t>
        </is>
      </c>
      <c r="H20" s="43" t="n">
        <v>0</v>
      </c>
      <c r="I20" s="44" t="inlineStr"/>
      <c r="J20" s="44" t="inlineStr">
        <is>
          <t>Delivers OB-L4; cross-track with Internal Controls.</t>
        </is>
      </c>
      <c r="K20" s="44" t="n"/>
      <c r="L20" s="44" t="n"/>
    </row>
    <row r="21" ht="40" customHeight="1" s="28">
      <c r="A21" s="46" t="inlineStr">
        <is>
          <t>A-020</t>
        </is>
      </c>
      <c r="B21" s="46" t="inlineStr">
        <is>
          <t>OB-L6</t>
        </is>
      </c>
      <c r="C21" s="46" t="inlineStr">
        <is>
          <t>On issue of the final Statutory Boundary Order, complete the Section 151 review of asset and liability transfer arrangements and report to the Audit / Improvement Committee.</t>
        </is>
      </c>
      <c r="D21" s="46" t="inlineStr">
        <is>
          <t>Stuart Fair (Corporate Director for Finance and Resources, S151)</t>
        </is>
      </c>
      <c r="E21" s="45" t="inlineStr"/>
      <c r="F21" s="45" t="inlineStr"/>
      <c r="G21" s="45" t="inlineStr">
        <is>
          <t>Not started</t>
        </is>
      </c>
      <c r="H21" s="45" t="n">
        <v>0</v>
      </c>
      <c r="I21" s="46" t="inlineStr"/>
      <c r="J21" s="46" t="inlineStr">
        <is>
          <t>TRIGGER PENDING: dates are set when the Statutory Boundary Order is published (see A-018).</t>
        </is>
      </c>
      <c r="K21" s="46" t="n"/>
      <c r="L21" s="46" t="n"/>
    </row>
    <row r="22" ht="40" customHeight="1" s="28">
      <c r="A22" s="44" t="inlineStr">
        <is>
          <t>A-021</t>
        </is>
      </c>
      <c r="B22" s="44" t="inlineStr">
        <is>
          <t>OB-L1</t>
        </is>
      </c>
      <c r="C22" s="44" t="inlineStr">
        <is>
          <t>Participate in joint implementation governance.</t>
        </is>
      </c>
      <c r="D22" s="44" t="inlineStr">
        <is>
          <t>James Rhodes (Director of Policy, Performance and Communications)</t>
        </is>
      </c>
      <c r="E22" s="73" t="n">
        <v>46219</v>
      </c>
      <c r="F22" s="43" t="inlineStr"/>
      <c r="G22" s="43" t="inlineStr">
        <is>
          <t>Not started</t>
        </is>
      </c>
      <c r="H22" s="43" t="n">
        <v>0</v>
      </c>
      <c r="I22" s="44" t="inlineStr"/>
      <c r="J22" s="44" t="inlineStr">
        <is>
          <t>Joint programme governance structure to be agreed and implemented.</t>
        </is>
      </c>
      <c r="K22" s="44" t="n"/>
      <c r="L22" s="44" t="n"/>
    </row>
    <row r="23" ht="40" customHeight="1" s="28">
      <c r="A23" s="46" t="inlineStr">
        <is>
          <t>A-022</t>
        </is>
      </c>
      <c r="B23" s="46" t="inlineStr">
        <is>
          <t>OB-L1</t>
        </is>
      </c>
      <c r="C23" s="46" t="inlineStr">
        <is>
          <t>Work with Nottinghamshire authorities on transition arrangements.</t>
        </is>
      </c>
      <c r="D23" s="46" t="inlineStr">
        <is>
          <t>James Rhodes (Director of Policy, Performance and Communications)</t>
        </is>
      </c>
      <c r="E23" s="74" t="n">
        <v>46219</v>
      </c>
      <c r="F23" s="45" t="inlineStr"/>
      <c r="G23" s="45" t="inlineStr">
        <is>
          <t>Not started</t>
        </is>
      </c>
      <c r="H23" s="45" t="n">
        <v>0</v>
      </c>
      <c r="I23" s="46" t="inlineStr"/>
      <c r="J23" s="46" t="inlineStr">
        <is>
          <t>Joint programme to be set out and ownership and accountabilities to be defined and progress monitored.</t>
        </is>
      </c>
      <c r="K23" s="46" t="n"/>
      <c r="L23" s="46" t="n"/>
    </row>
    <row r="24" ht="40" customHeight="1" s="28">
      <c r="A24" s="44" t="inlineStr">
        <is>
          <t>A-023</t>
        </is>
      </c>
      <c r="B24" s="44" t="inlineStr">
        <is>
          <t>OB-L1</t>
        </is>
      </c>
      <c r="C24" s="44" t="inlineStr">
        <is>
          <t>Support development of new operating models, staffing arrangements and service integration plans.</t>
        </is>
      </c>
      <c r="D24" s="44" t="inlineStr">
        <is>
          <t>Lee Mann (Strategic Director of HR &amp; EDI)</t>
        </is>
      </c>
      <c r="E24" s="73" t="n">
        <v>46219</v>
      </c>
      <c r="F24" s="43" t="inlineStr"/>
      <c r="G24" s="43" t="inlineStr">
        <is>
          <t>Not started</t>
        </is>
      </c>
      <c r="H24" s="43" t="n">
        <v>0</v>
      </c>
      <c r="I24" s="44" t="inlineStr"/>
      <c r="J24" s="44" t="inlineStr">
        <is>
          <t>Gather existing establishment and operating model details. Support planning for new establishment and operating models. Ensure timely onboarding processes.</t>
        </is>
      </c>
      <c r="K24" s="44" t="n"/>
      <c r="L24" s="44" t="n"/>
    </row>
    <row r="25" ht="40" customHeight="1" s="28">
      <c r="A25" s="46" t="inlineStr">
        <is>
          <t>A-025</t>
        </is>
      </c>
      <c r="B25" s="46" t="inlineStr">
        <is>
          <t>OB-L1</t>
        </is>
      </c>
      <c r="C25" s="46" t="inlineStr">
        <is>
          <t>Review the MHCLG local government reorganisation staffing issues guidance (16 July 2026) and complete a gap analysis against current demerger and staffing transition assumptions.</t>
        </is>
      </c>
      <c r="D25" s="46" t="inlineStr">
        <is>
          <t>Lee Mann (Strategic Director of HR &amp; EDI)</t>
        </is>
      </c>
      <c r="E25" s="74" t="n">
        <v>46238</v>
      </c>
      <c r="F25" s="74" t="n">
        <v>46295</v>
      </c>
      <c r="G25" s="45" t="inlineStr">
        <is>
          <t>Not started</t>
        </is>
      </c>
      <c r="H25" s="45" t="n">
        <v>0</v>
      </c>
      <c r="I25" s="46" t="inlineStr">
        <is>
          <t>https://www.gov.uk/government/publications/local-government-reorganisation-staffing-issues-guidance</t>
        </is>
      </c>
      <c r="J25" s="46" t="inlineStr">
        <is>
          <t>Checks the emerging operating model against central expectations on appointment and transfer of staff to the new single-tier councils. Feeds A-023.</t>
        </is>
      </c>
      <c r="K25" s="46" t="n"/>
      <c r="L25" s="46" t="n"/>
    </row>
    <row r="26" ht="40" customHeight="1" s="28">
      <c r="A26" s="44" t="inlineStr">
        <is>
          <t>A-026</t>
        </is>
      </c>
      <c r="B26" s="44" t="inlineStr">
        <is>
          <t>OB-L1</t>
        </is>
      </c>
      <c r="C26" s="44" t="inlineStr">
        <is>
          <t>Use the MHCLG staffing guidance overview in joint-council consultation with trade unions and staff on day-one staffing arrangements.</t>
        </is>
      </c>
      <c r="D26" s="44" t="inlineStr">
        <is>
          <t>Lee Mann (Strategic Director of HR &amp; EDI)</t>
        </is>
      </c>
      <c r="E26" s="73" t="n">
        <v>46238</v>
      </c>
      <c r="F26" s="73" t="n">
        <v>46326</v>
      </c>
      <c r="G26" s="43" t="inlineStr">
        <is>
          <t>Not started</t>
        </is>
      </c>
      <c r="H26" s="43" t="n">
        <v>0</v>
      </c>
      <c r="I26" s="44" t="inlineStr">
        <is>
          <t>https://www.gov.uk/government/publications/local-government-reorganisation-staffing-issues-guidance</t>
        </is>
      </c>
      <c r="J26" s="44" t="inlineStr">
        <is>
          <t>The 3-page overview published alongside the full guidance is the version intended for staff and union consultation.</t>
        </is>
      </c>
      <c r="K26" s="44" t="n"/>
      <c r="L26" s="44" t="n"/>
    </row>
    <row r="27" ht="40" customHeight="1" s="28">
      <c r="A27" s="46" t="inlineStr">
        <is>
          <t>A-027</t>
        </is>
      </c>
      <c r="B27" s="46" t="inlineStr">
        <is>
          <t>OB-A13</t>
        </is>
      </c>
      <c r="C27" s="46" t="inlineStr">
        <is>
          <t>Map the Audit Committee's terms of reference against the four statutory functions in s.33A of the Local Audit and Accountability Act 2014 and report the result to the Audit Committee, identifying any constitutional amendment needed.</t>
        </is>
      </c>
      <c r="D27" s="46" t="inlineStr">
        <is>
          <t>Stuart Fair (Corporate Director for Finance and Resources, S151)</t>
        </is>
      </c>
      <c r="E27" s="74" t="n">
        <v>46238</v>
      </c>
      <c r="F27" s="74" t="n">
        <v>46290</v>
      </c>
      <c r="G27" s="45" t="inlineStr">
        <is>
          <t>Not started</t>
        </is>
      </c>
      <c r="H27" s="45" t="n">
        <v>0</v>
      </c>
      <c r="I27" s="46" t="inlineStr">
        <is>
          <t>https://www.legislation.gov.uk/ukpga/2026/23/section/94/enacted</t>
        </is>
      </c>
      <c r="J27" s="46" t="inlineStr">
        <is>
          <t>Duty in force since 15 July 2026. MHCLG expects most authorities already comply, so this confirms compliance rather than builds it — and gives a documented basis for telling MHCLG if any difficulty is foreseen. Target: 25 September 2026 Audit Committee.</t>
        </is>
      </c>
      <c r="K27" s="46" t="n"/>
      <c r="L27" s="46" t="n"/>
    </row>
    <row r="28" ht="40" customHeight="1" s="28">
      <c r="A28" s="44" t="inlineStr">
        <is>
          <t>A-028</t>
        </is>
      </c>
      <c r="B28" s="44" t="inlineStr">
        <is>
          <t>OB-A13</t>
        </is>
      </c>
      <c r="C28" s="44" t="inlineStr">
        <is>
          <t>Launch recruitment for an independent member of the Audit Committee, including a public advertisement and role profile, ahead of the membership regulations coming into force.</t>
        </is>
      </c>
      <c r="D28" s="44" t="inlineStr">
        <is>
          <t>Beth Brown (Strategic Director of Legal and Governance)</t>
        </is>
      </c>
      <c r="E28" s="73" t="n">
        <v>46238</v>
      </c>
      <c r="F28" s="73" t="n">
        <v>46310</v>
      </c>
      <c r="G28" s="43" t="inlineStr">
        <is>
          <t>Not started</t>
        </is>
      </c>
      <c r="H28" s="43" t="n">
        <v>0</v>
      </c>
      <c r="I28" s="44" t="inlineStr"/>
      <c r="J28" s="44" t="inlineStr">
        <is>
          <t>Evidence: live public advertisement on the NCC jobs portal, role profile, and the appointment route through to committee. MHCLG encourages early recruitment — the independent member requirement is not yet in force and will be commenced by regulations made under s.94, so this is preparation rather than a duty in force. Starting now avoids a compliance gap on commencement.</t>
        </is>
      </c>
      <c r="K28" s="44" t="n"/>
      <c r="L28" s="44" t="n"/>
    </row>
    <row r="29" ht="40" customHeight="1" s="28">
      <c r="A29" s="46" t="inlineStr">
        <is>
          <t>A-029</t>
        </is>
      </c>
      <c r="B29" s="46" t="inlineStr">
        <is>
          <t>OB-A13</t>
        </is>
      </c>
      <c r="C29" s="46" t="inlineStr">
        <is>
          <t>Monitor for the s.94 regulations on audit committee membership, appointments and allowances, and the statutory guidance that follows them; on publication, reassess the terms of reference and the independent member appointment against the final requirements.</t>
        </is>
      </c>
      <c r="D29" s="46" t="inlineStr">
        <is>
          <t>Stuart Fair (Corporate Director for Finance and Resources, S151)</t>
        </is>
      </c>
      <c r="E29" s="74" t="n">
        <v>46238</v>
      </c>
      <c r="F29" s="45" t="inlineStr"/>
      <c r="G29" s="45" t="inlineStr">
        <is>
          <t>Not started</t>
        </is>
      </c>
      <c r="H29" s="45" t="n">
        <v>0</v>
      </c>
      <c r="I29" s="46" t="inlineStr"/>
      <c r="J29" s="46" t="inlineStr">
        <is>
          <t>TRIGGER PENDING: dates are set when the membership regulations are laid. Government has said this will happen 'when parliamentary time allows', so there is no announced date to work to (Guide Part 12).</t>
        </is>
      </c>
      <c r="K29" s="46" t="n"/>
      <c r="L29" s="46" t="n"/>
    </row>
    <row r="30" ht="40" customHeight="1" s="28">
      <c r="A30" s="44" t="inlineStr">
        <is>
          <t>A-030</t>
        </is>
      </c>
      <c r="B30" s="44" t="inlineStr">
        <is>
          <t>OB-A14</t>
        </is>
      </c>
      <c r="C30" s="44" t="inlineStr">
        <is>
          <t>Coordinate the initial political and executive induction sessions with Political Envoy Sir Stephen Houghton CBE.</t>
        </is>
      </c>
      <c r="D30" s="44" t="inlineStr">
        <is>
          <t>Sajeeda Rose (Chief Executive)</t>
        </is>
      </c>
      <c r="E30" s="73" t="n">
        <v>46238</v>
      </c>
      <c r="F30" s="73" t="n">
        <v>46280</v>
      </c>
      <c r="G30" s="43" t="inlineStr">
        <is>
          <t>Not started</t>
        </is>
      </c>
      <c r="H30" s="43" t="n">
        <v>0</v>
      </c>
      <c r="I30" s="44" t="inlineStr"/>
      <c r="J30" s="44" t="inlineStr">
        <is>
          <t>Evidence: schedule of initial advisory sessions submitted to the Continuous Improvement Committee.</t>
        </is>
      </c>
      <c r="K30" s="44" t="n"/>
      <c r="L30" s="44" t="n"/>
    </row>
    <row r="31" ht="40" customHeight="1" s="28">
      <c r="A31" s="46" t="inlineStr">
        <is>
          <t>A-031</t>
        </is>
      </c>
      <c r="B31" s="46" t="inlineStr">
        <is>
          <t>OB-A14</t>
        </is>
      </c>
      <c r="C31" s="46" t="inlineStr">
        <is>
          <t>Update the executive reporting matrix to define the advisory and mentoring boundaries of the Envoy role, covering both the Lead Envoy and the Political Envoy and their power to act jointly or severally.</t>
        </is>
      </c>
      <c r="D31" s="46" t="inlineStr">
        <is>
          <t>Sajeeda Rose (Chief Executive)</t>
        </is>
      </c>
      <c r="E31" s="74" t="n">
        <v>46238</v>
      </c>
      <c r="F31" s="74" t="n">
        <v>46295</v>
      </c>
      <c r="G31" s="45" t="inlineStr">
        <is>
          <t>Not started</t>
        </is>
      </c>
      <c r="H31" s="45" t="n">
        <v>0</v>
      </c>
      <c r="I31" s="46" t="inlineStr">
        <is>
          <t>https://www.gov.uk/government/publications/nottingham-city-council-letter-to-council-leader-15-july-2026</t>
        </is>
      </c>
      <c r="J31" s="46" t="inlineStr">
        <is>
          <t>Evidence: framework document signed off by the Leader (Cllr Neghat Khan) and Executive Panel. Records the distinction between the former Commissioner powers and the current advisory and mentoring role.</t>
        </is>
      </c>
      <c r="K31" s="46" t="n"/>
      <c r="L31" s="46" t="n"/>
    </row>
    <row r="32" ht="40" customHeight="1" s="28">
      <c r="A32" s="44" t="inlineStr">
        <is>
          <t>A-032</t>
        </is>
      </c>
      <c r="B32" s="44" t="inlineStr">
        <is>
          <t>OB-A14</t>
        </is>
      </c>
      <c r="C32" s="44" t="inlineStr">
        <is>
          <t>Confirm budget provision for Political Envoy fees and expenses, and put in place the approval route for exceeding the 75-day annual cap.</t>
        </is>
      </c>
      <c r="D32" s="44" t="inlineStr">
        <is>
          <t>Stuart Fair (Corporate Director for Finance and Resources, S151)</t>
        </is>
      </c>
      <c r="E32" s="73" t="n">
        <v>46238</v>
      </c>
      <c r="F32" s="73" t="n">
        <v>46295</v>
      </c>
      <c r="G32" s="43" t="inlineStr">
        <is>
          <t>Not started</t>
        </is>
      </c>
      <c r="H32" s="43" t="n">
        <v>0</v>
      </c>
      <c r="I32" s="44" t="inlineStr"/>
      <c r="J32" s="44" t="inlineStr">
        <is>
          <t>The appointment letter makes envoy costs the Authority's responsibility: GBP 800 per day, maximum 75 days a year, plus reasonable expenses at senior officer rates. The cap cannot be exceeded without prior Secretary of State approval, so the route needs to exist before it is needed.</t>
        </is>
      </c>
      <c r="K32" s="44" t="n"/>
      <c r="L32" s="44" t="n"/>
    </row>
    <row r="33" ht="40" customHeight="1" s="28">
      <c r="A33" s="46" t="inlineStr">
        <is>
          <t>A-033</t>
        </is>
      </c>
      <c r="B33" s="46" t="inlineStr">
        <is>
          <t>OB-L8</t>
        </is>
      </c>
      <c r="C33" s="46" t="inlineStr">
        <is>
          <t>Map NCC's single-tier operational workflows against the Strategic Authority functions set out in the MHCLG Devolution Framework Explainers, identifying which service lines sit with EMCCA and which with the new unitary authorities.</t>
        </is>
      </c>
      <c r="D33" s="46" t="inlineStr">
        <is>
          <t>James Rhodes (Director of Policy, Performance and Communications)</t>
        </is>
      </c>
      <c r="E33" s="74" t="n">
        <v>46238</v>
      </c>
      <c r="F33" s="74" t="n">
        <v>46326</v>
      </c>
      <c r="G33" s="45" t="inlineStr">
        <is>
          <t>Not started</t>
        </is>
      </c>
      <c r="H33" s="45" t="n">
        <v>0</v>
      </c>
      <c r="I33" s="46" t="inlineStr">
        <is>
          <t>https://www.gov.uk/government/publications/english-devolution-and-community-empowerment-bill-devolution-framework-explainers</t>
        </is>
      </c>
      <c r="J33" s="46" t="inlineStr">
        <is>
          <t>Evidence: structural gap analysis signed off by the Director of Policy and reported to the LGR programme board. Establishes the EMCCA / unitary boundary before day-one service allocation is fixed.</t>
        </is>
      </c>
      <c r="K33" s="46" t="n"/>
      <c r="L33" s="46" t="n"/>
    </row>
    <row r="34" ht="40" customHeight="1" s="28">
      <c r="A34" s="44" t="inlineStr">
        <is>
          <t>A-034</t>
        </is>
      </c>
      <c r="B34" s="44" t="inlineStr">
        <is>
          <t>OB-A7</t>
        </is>
      </c>
      <c r="C34" s="44" t="inlineStr">
        <is>
          <t>Confirm whether NCC gave MHCLG permission for its auditor to share the Auditor's Annual Report, the ISA 260 and the audit capacity assessment with the Department, and resolve the position with MHCLG if it did not.</t>
        </is>
      </c>
      <c r="D34" s="44" t="inlineStr">
        <is>
          <t>Stuart Fair (Corporate Director for Finance and Resources, S151)</t>
        </is>
      </c>
      <c r="E34" s="73" t="n">
        <v>46238</v>
      </c>
      <c r="F34" s="73" t="n">
        <v>46290</v>
      </c>
      <c r="G34" s="43" t="inlineStr">
        <is>
          <t>Not started</t>
        </is>
      </c>
      <c r="H34" s="43" t="n">
        <v>0</v>
      </c>
      <c r="I34" s="44" t="inlineStr">
        <is>
          <t>https://assets.publishing.service.gov.uk/media/692992e6a245b0985f034280/Ministerial_letter_to_local_bodies.pdf</t>
        </is>
      </c>
      <c r="J34" s="44" t="inlineStr">
        <is>
          <t>RETROSPECTIVE CHECK — BOTH DEADLINES HAVE PASSED. The Minister of State wrote to Chief Executives, CFOs and Leaders on 27 November 2025 asking for the AAR and ISA 260 by 31 March 2026 and an auditor capacity assessment by end July 2026. The letter says that where permission is not given, MHCLG officials will follow up directly. There is no record either way in the tracker, so the answer needs establishing rather than assuming. Evidence: the permission response to the audit firm, or correspondence with MHCLG.</t>
        </is>
      </c>
      <c r="K34" s="44" t="n"/>
      <c r="L34" s="44" t="n"/>
    </row>
    <row r="35" ht="40" customHeight="1" s="28">
      <c r="A35" s="46" t="inlineStr">
        <is>
          <t>A-035</t>
        </is>
      </c>
      <c r="B35" s="46" t="inlineStr">
        <is>
          <t>OB-A8</t>
        </is>
      </c>
      <c r="C35" s="46" t="inlineStr">
        <is>
          <t>Agree the build-back trajectory with the external auditor for clearing any backstop-related disclaimed opinions, working to the 30 November 2028 backstop, and report the trajectory to the Audit Committee.</t>
        </is>
      </c>
      <c r="D35" s="46" t="inlineStr">
        <is>
          <t>Stuart Fair (Corporate Director for Finance and Resources, S151)</t>
        </is>
      </c>
      <c r="E35" s="74" t="n">
        <v>46238</v>
      </c>
      <c r="F35" s="74" t="n">
        <v>46353</v>
      </c>
      <c r="G35" s="45" t="inlineStr">
        <is>
          <t>Not started</t>
        </is>
      </c>
      <c r="H35" s="45" t="n">
        <v>0</v>
      </c>
      <c r="I35" s="46" t="inlineStr">
        <is>
          <t>https://assets.publishing.service.gov.uk/media/692992e6a245b0985f034280/Ministerial_letter_to_local_bodies.pdf</t>
        </is>
      </c>
      <c r="J35" s="46" t="inlineStr">
        <is>
          <t>The build-back programme aims to clear backstop-related disclaimers by the end of 2027/28, for which the backstop date is 30 November 2028. Government has said progress is slower than hoped and that NO FURTHER build-back grant was paid in 2025/26, with the funding model reviewed in summer and autumn 2026 — so the cost of this sits with NCC unless that review changes it. The letter also stresses that authorities must adequately resource their finance functions to supply audit evidence.</t>
        </is>
      </c>
      <c r="K35" s="46" t="n"/>
      <c r="L35" s="46" t="n"/>
    </row>
  </sheetData>
  <autoFilter ref="A1:L35"/>
  <dataValidations count="4">
    <dataValidation sqref="G2:G1000" showDropDown="0" showInputMessage="0" showErrorMessage="0" allowBlank="1" type="list">
      <formula1>"Not started,In progress,Complete,Blocked,Cancelled"</formula1>
    </dataValidation>
    <dataValidation sqref="G2:G1000" showDropDown="0" showInputMessage="0" showErrorMessage="0" allowBlank="1" type="list">
      <formula1>"Not started,In progress,Complete,Blocked,Cancelled"</formula1>
    </dataValidation>
    <dataValidation sqref="G2:G1000" showDropDown="0" showInputMessage="0" showErrorMessage="0" allowBlank="1" type="list">
      <formula1>"Not started,In progress,Complete,Blocked,Cancelled"</formula1>
    </dataValidation>
    <dataValidation sqref="G2:G1000" showDropDown="0" showInputMessage="0" showErrorMessage="0" allowBlank="1" type="list">
      <formula1>"Not started,In progress,Complete,Blocked,Cancelled"</formula1>
    </dataValidation>
  </dataValidations>
  <pageMargins left="0.75" right="0.75" top="1" bottom="1" header="0.5" footer="0.5"/>
  <pageSetup orientation="portrait" paperSize="9"/>
</worksheet>
</file>

<file path=xl/worksheets/sheet5.xml><?xml version="1.0" encoding="utf-8"?>
<worksheet xmlns="http://schemas.openxmlformats.org/spreadsheetml/2006/main">
  <sheetPr>
    <outlinePr summaryBelow="1" summaryRight="1"/>
    <pageSetUpPr/>
  </sheetPr>
  <dimension ref="A1:H29"/>
  <sheetViews>
    <sheetView topLeftCell="A1" workbookViewId="0">
      <pane xSplit="2" ySplit="1" topLeftCell="C2" activePane="bottomRight" state="frozen"/>
      <selection pane="topRight" activeCell="A1" sqref="A1"/>
      <selection pane="bottomLeft" activeCell="A1" sqref="A1"/>
      <selection pane="bottomRight" activeCell="C2" sqref="C2"/>
    </sheetView>
  </sheetViews>
  <sheetFormatPr baseColWidth="8" defaultRowHeight="15"/>
  <cols>
    <col width="18" customWidth="1" style="28" min="1" max="1"/>
    <col width="18" customWidth="1" style="28" min="2" max="2"/>
    <col width="22" customWidth="1" style="28" min="3" max="3"/>
    <col width="50" customWidth="1" style="28" min="4" max="4"/>
    <col width="18" customWidth="1" style="28" min="5" max="5"/>
    <col width="18" customWidth="1" style="28" min="6" max="6"/>
    <col width="18" customWidth="1" style="28" min="7" max="7"/>
    <col width="18" customWidth="1" style="28" min="8" max="8"/>
  </cols>
  <sheetData>
    <row r="1" ht="30" customHeight="1" s="28">
      <c r="A1" s="42" t="inlineStr">
        <is>
          <t>Type</t>
        </is>
      </c>
      <c r="B1" s="42" t="inlineStr">
        <is>
          <t>ID</t>
        </is>
      </c>
      <c r="C1" s="42" t="inlineStr">
        <is>
          <t>Owner</t>
        </is>
      </c>
      <c r="D1" s="42" t="inlineStr">
        <is>
          <t>Evidence needed</t>
        </is>
      </c>
      <c r="E1" s="42" t="inlineStr">
        <is>
          <t>Sign off / Parent</t>
        </is>
      </c>
      <c r="F1" s="42" t="inlineStr">
        <is>
          <t>Target</t>
        </is>
      </c>
      <c r="G1" s="42" t="inlineStr">
        <is>
          <t>Where it should land</t>
        </is>
      </c>
      <c r="H1" s="42" t="inlineStr">
        <is>
          <t>Obtained?</t>
        </is>
      </c>
    </row>
    <row r="2" ht="40" customHeight="1" s="28">
      <c r="A2" s="44" t="inlineStr">
        <is>
          <t>Obligation</t>
        </is>
      </c>
      <c r="B2" s="44" t="inlineStr">
        <is>
          <t>OB-A8</t>
        </is>
      </c>
      <c r="C2" s="44" t="inlineStr">
        <is>
          <t>Stuart Fair (Corporate Director for Finance and Resources, S151)</t>
        </is>
      </c>
      <c r="D2" s="44" t="inlineStr">
        <is>
          <t>Published Statement of Accounts; auditor's opinion; note on any disclaimer.</t>
        </is>
      </c>
      <c r="E2" s="44" t="inlineStr">
        <is>
          <t>Audit Committee</t>
        </is>
      </c>
      <c r="F2" s="44" t="inlineStr">
        <is>
          <t>2026-09-30</t>
        </is>
      </c>
      <c r="G2" s="44" t="inlineStr">
        <is>
          <t>Audit Committee papers</t>
        </is>
      </c>
      <c r="H2" s="44" t="inlineStr"/>
    </row>
    <row r="3" ht="40" customHeight="1" s="28">
      <c r="A3" s="46" t="inlineStr">
        <is>
          <t>Obligation</t>
        </is>
      </c>
      <c r="B3" s="46" t="inlineStr">
        <is>
          <t>OB-L4</t>
        </is>
      </c>
      <c r="C3" s="46" t="inlineStr">
        <is>
          <t>Lynne Dowdican (Head of Internal Audit)</t>
        </is>
      </c>
      <c r="D3" s="46" t="inlineStr">
        <is>
          <t>Updated Internal Audit Annual Plan with an LGR transition section; Audit Committee approval.</t>
        </is>
      </c>
      <c r="E3" s="46" t="inlineStr">
        <is>
          <t>Audit Committee</t>
        </is>
      </c>
      <c r="F3" s="46" t="inlineStr">
        <is>
          <t>2026-10-31</t>
        </is>
      </c>
      <c r="G3" s="46" t="inlineStr">
        <is>
          <t>Audit Committee papers</t>
        </is>
      </c>
      <c r="H3" s="46" t="inlineStr"/>
    </row>
    <row r="4" ht="40" customHeight="1" s="28">
      <c r="A4" s="44" t="inlineStr">
        <is>
          <t>Obligation</t>
        </is>
      </c>
      <c r="B4" s="44" t="inlineStr">
        <is>
          <t>OB-L5</t>
        </is>
      </c>
      <c r="C4" s="44" t="inlineStr">
        <is>
          <t>Beth Brown (Strategic Director of Legal and Governance)</t>
        </is>
      </c>
      <c r="D4" s="44" t="inlineStr">
        <is>
          <t>Formal gap analysis report to the July 2026 Audit Committee verifying the successor-body governance framework matches the 2026 Act, referencing the relevant Act sections against the current Audit Committee Terms of Reference and the proposed successor body governance model.</t>
        </is>
      </c>
      <c r="E4" s="44" t="inlineStr">
        <is>
          <t>Audit Committee</t>
        </is>
      </c>
      <c r="F4" s="44" t="inlineStr">
        <is>
          <t>2026-07-31</t>
        </is>
      </c>
      <c r="G4" s="44" t="inlineStr">
        <is>
          <t>Audit Committee papers</t>
        </is>
      </c>
      <c r="H4" s="44" t="inlineStr"/>
    </row>
    <row r="5" ht="40" customHeight="1" s="28">
      <c r="A5" s="46" t="inlineStr">
        <is>
          <t>Obligation</t>
        </is>
      </c>
      <c r="B5" s="46" t="inlineStr">
        <is>
          <t>OB-L6</t>
        </is>
      </c>
      <c r="C5" s="46" t="inlineStr">
        <is>
          <t>Stuart Fair (Corporate Director for Finance and Resources, S151)</t>
        </is>
      </c>
      <c r="D5" s="46" t="inlineStr">
        <is>
          <t>S151 finance review of asset and liability transfer arrangements; report to Audit / Improvement Committee.</t>
        </is>
      </c>
      <c r="E5" s="46" t="inlineStr">
        <is>
          <t>Section 151 Officer / Audit Committee</t>
        </is>
      </c>
      <c r="F5" s="46" t="inlineStr"/>
      <c r="G5" s="46" t="inlineStr">
        <is>
          <t>Audit Committee papers</t>
        </is>
      </c>
      <c r="H5" s="46" t="inlineStr"/>
    </row>
    <row r="6" ht="40" customHeight="1" s="28">
      <c r="A6" s="44" t="inlineStr">
        <is>
          <t>Action</t>
        </is>
      </c>
      <c r="B6" s="44" t="inlineStr">
        <is>
          <t>A-001</t>
        </is>
      </c>
      <c r="C6" s="44" t="inlineStr">
        <is>
          <t>A Spice / D Cafferty (Procurement)</t>
        </is>
      </c>
      <c r="D6" s="44" t="inlineStr">
        <is>
          <t>Publish a benchmarking exercise comparing NCC's contract exemption rates against neighbouring Nottinghamshire authorities.</t>
        </is>
      </c>
      <c r="E6" s="44" t="inlineStr">
        <is>
          <t>OB-A11</t>
        </is>
      </c>
      <c r="F6" s="44" t="inlineStr">
        <is>
          <t>2026-07-31</t>
        </is>
      </c>
      <c r="G6" s="44" t="inlineStr">
        <is>
          <t>Internal - council document store</t>
        </is>
      </c>
      <c r="H6" s="44" t="inlineStr"/>
    </row>
    <row r="7" ht="40" customHeight="1" s="28">
      <c r="A7" s="46" t="inlineStr">
        <is>
          <t>Action</t>
        </is>
      </c>
      <c r="B7" s="46" t="inlineStr">
        <is>
          <t>A-003</t>
        </is>
      </c>
      <c r="C7" s="46" t="inlineStr">
        <is>
          <t>Beth Brown (Strategic Director of Legal and Governance)</t>
        </is>
      </c>
      <c r="D7" s="46" t="inlineStr">
        <is>
          <t>Provide a formal briefing note once legal advice on UN PRI (Principles for Responsible Investment) and UNGP (UN Guiding Principles) compliance framewo</t>
        </is>
      </c>
      <c r="E7" s="46" t="inlineStr">
        <is>
          <t>OB-A11</t>
        </is>
      </c>
      <c r="F7" s="46" t="inlineStr">
        <is>
          <t>2026-06-30</t>
        </is>
      </c>
      <c r="G7" s="46" t="inlineStr">
        <is>
          <t>Internal - council document store</t>
        </is>
      </c>
      <c r="H7" s="46" t="inlineStr"/>
    </row>
    <row r="8" ht="40" customHeight="1" s="28">
      <c r="A8" s="44" t="inlineStr">
        <is>
          <t>Action</t>
        </is>
      </c>
      <c r="B8" s="44" t="inlineStr">
        <is>
          <t>A-004</t>
        </is>
      </c>
      <c r="C8" s="44" t="inlineStr">
        <is>
          <t>James Rhodes (Director of Policy, Performance and Communications)</t>
        </is>
      </c>
      <c r="D8" s="44" t="inlineStr">
        <is>
          <t>Scope and procure the day-one IT systems and data migration required for the new unitary authority.</t>
        </is>
      </c>
      <c r="E8" s="44" t="inlineStr">
        <is>
          <t>OB-L3</t>
        </is>
      </c>
      <c r="F8" s="44" t="inlineStr">
        <is>
          <t>2027-02-28</t>
        </is>
      </c>
      <c r="G8" s="44" t="inlineStr">
        <is>
          <t>Internal - council document store</t>
        </is>
      </c>
      <c r="H8" s="44" t="inlineStr"/>
    </row>
    <row r="9" ht="40" customHeight="1" s="28">
      <c r="A9" s="46" t="inlineStr">
        <is>
          <t>Action</t>
        </is>
      </c>
      <c r="B9" s="46" t="inlineStr">
        <is>
          <t>A-006</t>
        </is>
      </c>
      <c r="C9" s="46" t="inlineStr">
        <is>
          <t>Lynne Dowdican (Head of Internal Audit)</t>
        </is>
      </c>
      <c r="D9" s="46" t="inlineStr">
        <is>
          <t>Review structural transitional reporting regulations issued by the preferred LAO Chair candidate and adjust internal audit backstop clearance mileston</t>
        </is>
      </c>
      <c r="E9" s="46" t="inlineStr">
        <is>
          <t>OB-A12</t>
        </is>
      </c>
      <c r="F9" s="46" t="inlineStr">
        <is>
          <t>2026-09-30</t>
        </is>
      </c>
      <c r="G9" s="46" t="inlineStr">
        <is>
          <t>Internal - council document store</t>
        </is>
      </c>
      <c r="H9" s="46" t="inlineStr"/>
    </row>
    <row r="10" ht="40" customHeight="1" s="28">
      <c r="A10" s="44" t="inlineStr">
        <is>
          <t>Action</t>
        </is>
      </c>
      <c r="B10" s="44" t="inlineStr">
        <is>
          <t>A-007</t>
        </is>
      </c>
      <c r="C10" s="44" t="inlineStr">
        <is>
          <t>James Rhodes (Director of Policy, Performance and Communications)</t>
        </is>
      </c>
      <c r="D10" s="44" t="inlineStr">
        <is>
          <t>Perform an internal option appraisal to cross-examine whether the newly introduced June 2026 GOV.UK reorganisation layout guidance changes boundary li</t>
        </is>
      </c>
      <c r="E10" s="44" t="inlineStr">
        <is>
          <t>OB-L7</t>
        </is>
      </c>
      <c r="F10" s="44" t="inlineStr">
        <is>
          <t>2026-08-31</t>
        </is>
      </c>
      <c r="G10" s="44" t="inlineStr">
        <is>
          <t>Internal - council document store</t>
        </is>
      </c>
      <c r="H10" s="44" t="inlineStr"/>
    </row>
    <row r="11" ht="40" customHeight="1" s="28">
      <c r="A11" s="46" t="inlineStr">
        <is>
          <t>Action</t>
        </is>
      </c>
      <c r="B11" s="46" t="inlineStr">
        <is>
          <t>A-008</t>
        </is>
      </c>
      <c r="C11" s="46" t="inlineStr">
        <is>
          <t>Beth Brown (Strategic Director of Legal and Governance)</t>
        </is>
      </c>
      <c r="D11" s="46" t="inlineStr">
        <is>
          <t>Draft the formal accountability framework and code alignment overview mandated by the recent Royal Assent confirmation of the English Devolution Act.</t>
        </is>
      </c>
      <c r="E11" s="46" t="inlineStr">
        <is>
          <t>OB-L5</t>
        </is>
      </c>
      <c r="F11" s="46" t="inlineStr">
        <is>
          <t>2026-07-31</t>
        </is>
      </c>
      <c r="G11" s="46" t="inlineStr">
        <is>
          <t>Internal - council document store</t>
        </is>
      </c>
      <c r="H11" s="46" t="inlineStr"/>
    </row>
    <row r="12" ht="40" customHeight="1" s="28">
      <c r="A12" s="44" t="inlineStr">
        <is>
          <t>Action</t>
        </is>
      </c>
      <c r="B12" s="44" t="inlineStr">
        <is>
          <t>A-009</t>
        </is>
      </c>
      <c r="C12" s="44" t="inlineStr">
        <is>
          <t>Sajeeda Rose (Chief Executive)</t>
        </is>
      </c>
      <c r="D12" s="44" t="inlineStr">
        <is>
          <t>Coordinate final verification review and ensure physical sign-off endorsement of the complete CSIP text block by Ministerial Envoys.</t>
        </is>
      </c>
      <c r="E12" s="44" t="inlineStr">
        <is>
          <t>OB-A2</t>
        </is>
      </c>
      <c r="F12" s="44" t="inlineStr">
        <is>
          <t>2026-06-24</t>
        </is>
      </c>
      <c r="G12" s="44" t="inlineStr">
        <is>
          <t>Internal - council document store</t>
        </is>
      </c>
      <c r="H12" s="44" t="inlineStr"/>
    </row>
    <row r="13" ht="40" customHeight="1" s="28">
      <c r="A13" s="46" t="inlineStr">
        <is>
          <t>Action</t>
        </is>
      </c>
      <c r="B13" s="46" t="inlineStr">
        <is>
          <t>A-010</t>
        </is>
      </c>
      <c r="C13" s="46" t="inlineStr">
        <is>
          <t>Stuart Fair (Corporate Director for Finance and Resources, S151)</t>
        </is>
      </c>
      <c r="D13" s="46" t="inlineStr">
        <is>
          <t>Review financial management, savings delivery, accounts production, and capital programme improvements at the six-monthly Improvement Committee report</t>
        </is>
      </c>
      <c r="E13" s="46" t="inlineStr">
        <is>
          <t>OB-A3</t>
        </is>
      </c>
      <c r="F13" s="46" t="inlineStr">
        <is>
          <t>2026-12-31</t>
        </is>
      </c>
      <c r="G13" s="46" t="inlineStr">
        <is>
          <t>Internal - council document store</t>
        </is>
      </c>
      <c r="H13" s="46" t="inlineStr"/>
    </row>
    <row r="14" ht="40" customHeight="1" s="28">
      <c r="A14" s="44" t="inlineStr">
        <is>
          <t>Action</t>
        </is>
      </c>
      <c r="B14" s="44" t="inlineStr">
        <is>
          <t>A-011</t>
        </is>
      </c>
      <c r="C14" s="44" t="inlineStr">
        <is>
          <t>Beth Brown (Strategic Director of Legal and Governance)</t>
        </is>
      </c>
      <c r="D14" s="44" t="inlineStr">
        <is>
          <t>Review scrutiny and decision-making improvements at each Improvement Committee report and record the check, filing Corporate Scrutiny papers and Schem</t>
        </is>
      </c>
      <c r="E14" s="44" t="inlineStr">
        <is>
          <t>OB-A4</t>
        </is>
      </c>
      <c r="F14" s="44" t="inlineStr">
        <is>
          <t>2026-12-31</t>
        </is>
      </c>
      <c r="G14" s="44" t="inlineStr">
        <is>
          <t>Internal - council document store</t>
        </is>
      </c>
      <c r="H14" s="44" t="inlineStr"/>
    </row>
    <row r="15" ht="40" customHeight="1" s="28">
      <c r="A15" s="46" t="inlineStr">
        <is>
          <t>Action</t>
        </is>
      </c>
      <c r="B15" s="46" t="inlineStr">
        <is>
          <t>A-012</t>
        </is>
      </c>
      <c r="C15" s="46" t="inlineStr">
        <is>
          <t>Lynne Dowdican (Head of Internal Audit)</t>
        </is>
      </c>
      <c r="D15" s="46" t="inlineStr">
        <is>
          <t>Prepare the internal audit alignment note against Local Audit Office standards and guidance, and present progress reports at each Audit Committee.</t>
        </is>
      </c>
      <c r="E15" s="46" t="inlineStr">
        <is>
          <t>OB-A5</t>
        </is>
      </c>
      <c r="F15" s="46" t="inlineStr">
        <is>
          <t>2026-07-31</t>
        </is>
      </c>
      <c r="G15" s="46" t="inlineStr">
        <is>
          <t>Internal - council document store</t>
        </is>
      </c>
      <c r="H15" s="46" t="inlineStr"/>
    </row>
    <row r="16" ht="40" customHeight="1" s="28">
      <c r="A16" s="44" t="inlineStr">
        <is>
          <t>Action</t>
        </is>
      </c>
      <c r="B16" s="44" t="inlineStr">
        <is>
          <t>A-013</t>
        </is>
      </c>
      <c r="C16" s="44" t="inlineStr">
        <is>
          <t>Sajeeda Rose (Chief Executive)</t>
        </is>
      </c>
      <c r="D16" s="44" t="inlineStr">
        <is>
          <t>Record Ministerial Envoy attendance and the council's responses to Envoy recommendations at each Improvement Committee meeting.</t>
        </is>
      </c>
      <c r="E16" s="44" t="inlineStr">
        <is>
          <t>OB-A6</t>
        </is>
      </c>
      <c r="F16" s="44" t="inlineStr">
        <is>
          <t>2026-09-30</t>
        </is>
      </c>
      <c r="G16" s="44" t="inlineStr">
        <is>
          <t>Internal - council document store</t>
        </is>
      </c>
      <c r="H16" s="44" t="inlineStr"/>
    </row>
    <row r="17" ht="40" customHeight="1" s="28">
      <c r="A17" s="46" t="inlineStr">
        <is>
          <t>Action</t>
        </is>
      </c>
      <c r="B17" s="46" t="inlineStr">
        <is>
          <t>A-014</t>
        </is>
      </c>
      <c r="C17" s="46" t="inlineStr">
        <is>
          <t>Gareth Robinson (Director of Finance)</t>
        </is>
      </c>
      <c r="D17" s="46" t="inlineStr">
        <is>
          <t>Produce the management response document to each recommendation in the external auditor's Annual Report (ISA 260) and secure the Audit Committee accep</t>
        </is>
      </c>
      <c r="E17" s="46" t="inlineStr">
        <is>
          <t>OB-A7</t>
        </is>
      </c>
      <c r="F17" s="46" t="inlineStr">
        <is>
          <t>2026-07-31</t>
        </is>
      </c>
      <c r="G17" s="46" t="inlineStr">
        <is>
          <t>Internal - council document store</t>
        </is>
      </c>
      <c r="H17" s="46" t="inlineStr"/>
    </row>
    <row r="18" ht="40" customHeight="1" s="28">
      <c r="A18" s="44" t="inlineStr">
        <is>
          <t>Action</t>
        </is>
      </c>
      <c r="B18" s="44" t="inlineStr">
        <is>
          <t>A-015</t>
        </is>
      </c>
      <c r="C18" s="44" t="inlineStr">
        <is>
          <t>Stuart Fair (Corporate Director for Finance and Resources, S151)</t>
        </is>
      </c>
      <c r="D18" s="44" t="inlineStr">
        <is>
          <t>Produce and publish the 2024/25 Statement of Accounts with the auditor's opinion (noting any disclaimer), and link the specific year's document on the</t>
        </is>
      </c>
      <c r="E18" s="44" t="inlineStr">
        <is>
          <t>OB-A8</t>
        </is>
      </c>
      <c r="F18" s="44" t="inlineStr">
        <is>
          <t>2026-09-30</t>
        </is>
      </c>
      <c r="G18" s="44" t="inlineStr">
        <is>
          <t>Internal - council document store</t>
        </is>
      </c>
      <c r="H18" s="44" t="inlineStr"/>
    </row>
    <row r="19" ht="40" customHeight="1" s="28">
      <c r="A19" s="46" t="inlineStr">
        <is>
          <t>Action</t>
        </is>
      </c>
      <c r="B19" s="46" t="inlineStr">
        <is>
          <t>A-016</t>
        </is>
      </c>
      <c r="C19" s="46" t="inlineStr">
        <is>
          <t>Beth Brown (Strategic Director of Legal and Governance)</t>
        </is>
      </c>
      <c r="D19" s="46" t="inlineStr">
        <is>
          <t>Secure Audit Committee approval of the published draft Annual Governance Statement 2024/25 and link the approval minute as evidence.</t>
        </is>
      </c>
      <c r="E19" s="46" t="inlineStr">
        <is>
          <t>OB-A9</t>
        </is>
      </c>
      <c r="F19" s="46" t="inlineStr">
        <is>
          <t>2026-07-31</t>
        </is>
      </c>
      <c r="G19" s="46" t="inlineStr">
        <is>
          <t>Internal - council document store</t>
        </is>
      </c>
      <c r="H19" s="46" t="inlineStr"/>
    </row>
    <row r="20" ht="40" customHeight="1" s="28">
      <c r="A20" s="44" t="inlineStr">
        <is>
          <t>Action</t>
        </is>
      </c>
      <c r="B20" s="44" t="inlineStr">
        <is>
          <t>A-017</t>
        </is>
      </c>
      <c r="C20" s="44" t="inlineStr">
        <is>
          <t>James Rhodes (Director of Policy, Performance and Communications)</t>
        </is>
      </c>
      <c r="D20" s="44" t="inlineStr">
        <is>
          <t>File joint LGR committee papers, transition programme updates to the Improvement Committee, and cooperation records with the other Nottinghamshire cou</t>
        </is>
      </c>
      <c r="E20" s="44" t="inlineStr">
        <is>
          <t>OB-L1</t>
        </is>
      </c>
      <c r="F20" s="44" t="inlineStr">
        <is>
          <t>2026-09-30</t>
        </is>
      </c>
      <c r="G20" s="44" t="inlineStr">
        <is>
          <t>Internal - council document store</t>
        </is>
      </c>
      <c r="H20" s="44" t="inlineStr"/>
    </row>
    <row r="21" ht="40" customHeight="1" s="28">
      <c r="A21" s="46" t="inlineStr">
        <is>
          <t>Action</t>
        </is>
      </c>
      <c r="B21" s="46" t="inlineStr">
        <is>
          <t>A-019</t>
        </is>
      </c>
      <c r="C21" s="46" t="inlineStr">
        <is>
          <t>Lynne Dowdican (Head of Internal Audit)</t>
        </is>
      </c>
      <c r="D21" s="46" t="inlineStr">
        <is>
          <t>Update the Internal Audit Annual Plan with an LGR transition risk section (service demerger, asset and liability transfer, shadow authority governance</t>
        </is>
      </c>
      <c r="E21" s="46" t="inlineStr">
        <is>
          <t>OB-L4</t>
        </is>
      </c>
      <c r="F21" s="46" t="inlineStr">
        <is>
          <t>2026-10-31</t>
        </is>
      </c>
      <c r="G21" s="46" t="inlineStr">
        <is>
          <t>Internal - council document store</t>
        </is>
      </c>
      <c r="H21" s="46" t="inlineStr"/>
    </row>
    <row r="22" ht="40" customHeight="1" s="28">
      <c r="A22" s="44" t="inlineStr">
        <is>
          <t>Action</t>
        </is>
      </c>
      <c r="B22" s="44" t="inlineStr">
        <is>
          <t>A-020</t>
        </is>
      </c>
      <c r="C22" s="44" t="inlineStr">
        <is>
          <t>Stuart Fair (Corporate Director for Finance and Resources, S151)</t>
        </is>
      </c>
      <c r="D22" s="44" t="inlineStr">
        <is>
          <t>On issue of the final Statutory Boundary Order, complete the Section 151 review of asset and liability transfer arrangements and report to the Audit /</t>
        </is>
      </c>
      <c r="E22" s="44" t="inlineStr">
        <is>
          <t>OB-L6</t>
        </is>
      </c>
      <c r="F22" s="44" t="inlineStr"/>
      <c r="G22" s="44" t="inlineStr">
        <is>
          <t>Internal - council document store</t>
        </is>
      </c>
      <c r="H22" s="44" t="inlineStr"/>
    </row>
    <row r="23" ht="40" customHeight="1" s="28">
      <c r="A23" s="46" t="inlineStr">
        <is>
          <t>Action</t>
        </is>
      </c>
      <c r="B23" s="46" t="inlineStr">
        <is>
          <t>A-021</t>
        </is>
      </c>
      <c r="C23" s="46" t="inlineStr">
        <is>
          <t>James Rhodes (Director of Policy, Performance and Communications)</t>
        </is>
      </c>
      <c r="D23" s="46" t="inlineStr">
        <is>
          <t>Participate in joint implementation governance.</t>
        </is>
      </c>
      <c r="E23" s="46" t="inlineStr">
        <is>
          <t>OB-L1</t>
        </is>
      </c>
      <c r="F23" s="46" t="inlineStr"/>
      <c r="G23" s="46" t="inlineStr">
        <is>
          <t>Internal - council document store</t>
        </is>
      </c>
      <c r="H23" s="46" t="inlineStr"/>
    </row>
    <row r="24" ht="40" customHeight="1" s="28">
      <c r="A24" s="44" t="inlineStr">
        <is>
          <t>Action</t>
        </is>
      </c>
      <c r="B24" s="44" t="inlineStr">
        <is>
          <t>A-022</t>
        </is>
      </c>
      <c r="C24" s="44" t="inlineStr">
        <is>
          <t>James Rhodes (Director of Policy, Performance and Communications)</t>
        </is>
      </c>
      <c r="D24" s="44" t="inlineStr">
        <is>
          <t>Work with Nottinghamshire authorities on transition arrangements.</t>
        </is>
      </c>
      <c r="E24" s="44" t="inlineStr">
        <is>
          <t>OB-L1</t>
        </is>
      </c>
      <c r="F24" s="44" t="inlineStr"/>
      <c r="G24" s="44" t="inlineStr">
        <is>
          <t>Internal - council document store</t>
        </is>
      </c>
      <c r="H24" s="44" t="inlineStr"/>
    </row>
    <row r="25" ht="40" customHeight="1" s="28">
      <c r="A25" s="46" t="inlineStr">
        <is>
          <t>Action</t>
        </is>
      </c>
      <c r="B25" s="46" t="inlineStr">
        <is>
          <t>A-023</t>
        </is>
      </c>
      <c r="C25" s="46" t="inlineStr">
        <is>
          <t>Lee Mann (Strategic Director of HR &amp; EDI)</t>
        </is>
      </c>
      <c r="D25" s="46" t="inlineStr">
        <is>
          <t>Support development of new operating models, staffing arrangements and service integration plans.</t>
        </is>
      </c>
      <c r="E25" s="46" t="inlineStr">
        <is>
          <t>OB-L1</t>
        </is>
      </c>
      <c r="F25" s="46" t="inlineStr"/>
      <c r="G25" s="46" t="inlineStr">
        <is>
          <t>Internal - council document store</t>
        </is>
      </c>
      <c r="H25" s="46" t="inlineStr"/>
    </row>
    <row r="26" ht="40" customHeight="1" s="28">
      <c r="A26" s="44" t="inlineStr">
        <is>
          <t>Action</t>
        </is>
      </c>
      <c r="B26" s="44" t="inlineStr">
        <is>
          <t>A-028</t>
        </is>
      </c>
      <c r="C26" s="44" t="inlineStr">
        <is>
          <t>Beth Brown (Strategic Director of Legal and Governance)</t>
        </is>
      </c>
      <c r="D26" s="44" t="inlineStr">
        <is>
          <t>Launch recruitment for an independent member of the Audit Committee, including a public advertisement and role profile, ahead of the membership regula</t>
        </is>
      </c>
      <c r="E26" s="44" t="inlineStr">
        <is>
          <t>OB-A13</t>
        </is>
      </c>
      <c r="F26" s="44" t="inlineStr">
        <is>
          <t>2026-10-15</t>
        </is>
      </c>
      <c r="G26" s="44" t="inlineStr">
        <is>
          <t>Internal - council document store</t>
        </is>
      </c>
      <c r="H26" s="44" t="inlineStr"/>
    </row>
    <row r="27" ht="40" customHeight="1" s="28">
      <c r="A27" s="46" t="inlineStr">
        <is>
          <t>Action</t>
        </is>
      </c>
      <c r="B27" s="46" t="inlineStr">
        <is>
          <t>A-029</t>
        </is>
      </c>
      <c r="C27" s="46" t="inlineStr">
        <is>
          <t>Stuart Fair (Corporate Director for Finance and Resources, S151)</t>
        </is>
      </c>
      <c r="D27" s="46" t="inlineStr">
        <is>
          <t>Monitor for the s.94 regulations on audit committee membership, appointments and allowances, and the statutory guidance that follows them; on publicat</t>
        </is>
      </c>
      <c r="E27" s="46" t="inlineStr">
        <is>
          <t>OB-A13</t>
        </is>
      </c>
      <c r="F27" s="46" t="inlineStr"/>
      <c r="G27" s="46" t="inlineStr">
        <is>
          <t>Internal - council document store</t>
        </is>
      </c>
      <c r="H27" s="46" t="inlineStr"/>
    </row>
    <row r="28" ht="40" customHeight="1" s="28">
      <c r="A28" s="44" t="inlineStr">
        <is>
          <t>Action</t>
        </is>
      </c>
      <c r="B28" s="44" t="inlineStr">
        <is>
          <t>A-030</t>
        </is>
      </c>
      <c r="C28" s="44" t="inlineStr">
        <is>
          <t>Sajeeda Rose (Chief Executive)</t>
        </is>
      </c>
      <c r="D28" s="44" t="inlineStr">
        <is>
          <t>Coordinate the initial political and executive induction sessions with Political Envoy Sir Stephen Houghton CBE.</t>
        </is>
      </c>
      <c r="E28" s="44" t="inlineStr">
        <is>
          <t>OB-A14</t>
        </is>
      </c>
      <c r="F28" s="44" t="inlineStr">
        <is>
          <t>2026-09-15</t>
        </is>
      </c>
      <c r="G28" s="44" t="inlineStr">
        <is>
          <t>Internal - council document store</t>
        </is>
      </c>
      <c r="H28" s="44" t="inlineStr"/>
    </row>
    <row r="29" ht="40" customHeight="1" s="28">
      <c r="A29" s="46" t="inlineStr">
        <is>
          <t>Action</t>
        </is>
      </c>
      <c r="B29" s="46" t="inlineStr">
        <is>
          <t>A-032</t>
        </is>
      </c>
      <c r="C29" s="46" t="inlineStr">
        <is>
          <t>Stuart Fair (Corporate Director for Finance and Resources, S151)</t>
        </is>
      </c>
      <c r="D29" s="46" t="inlineStr">
        <is>
          <t>Confirm budget provision for Political Envoy fees and expenses, and put in place the approval route for exceeding the 75-day annual cap.</t>
        </is>
      </c>
      <c r="E29" s="46" t="inlineStr">
        <is>
          <t>OB-A14</t>
        </is>
      </c>
      <c r="F29" s="46" t="inlineStr">
        <is>
          <t>2026-09-30</t>
        </is>
      </c>
      <c r="G29" s="46" t="inlineStr">
        <is>
          <t>Internal - council document store</t>
        </is>
      </c>
      <c r="H29" s="46" t="inlineStr"/>
    </row>
  </sheetData>
  <autoFilter ref="A1:H2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paul.kwarteng@nottinghamcity.gov.uk</dc:creator>
  <dcterms:created xmlns:dcterms="http://purl.org/dc/terms/" xmlns:xsi="http://www.w3.org/2001/XMLSchema-instance" xsi:type="dcterms:W3CDTF">2026-06-08T10:33:45Z</dcterms:created>
  <dcterms:modified xmlns:dcterms="http://purl.org/dc/terms/" xmlns:xsi="http://www.w3.org/2001/XMLSchema-instance" xsi:type="dcterms:W3CDTF">2026-08-04T15:25:34Z</dcterms:modified>
  <cp:lastModifiedBy>Paul Kwarteng</cp:lastModifiedBy>
</cp:coreProperties>
</file>