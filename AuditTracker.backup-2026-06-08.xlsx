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kwart\Downloads\files\"/>
    </mc:Choice>
  </mc:AlternateContent>
  <xr:revisionPtr revIDLastSave="0" documentId="13_ncr:1_{CC0C32EB-6359-4EB5-9F39-2541CD44197E}" xr6:coauthVersionLast="47" xr6:coauthVersionMax="47" xr10:uidLastSave="{00000000-0000-0000-0000-000000000000}"/>
  <bookViews>
    <workbookView xWindow="28680" yWindow="-3795" windowWidth="38640" windowHeight="21120" activeTab="2" xr2:uid="{00000000-000D-0000-FFFF-FFFF00000000}"/>
  </bookViews>
  <sheets>
    <sheet name="Dashboard" sheetId="1" r:id="rId1"/>
    <sheet name="Intelligence" sheetId="2" r:id="rId2"/>
    <sheet name="Obligations" sheetId="3" r:id="rId3"/>
    <sheet name="A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C16" i="1"/>
  <c r="C11" i="1"/>
  <c r="C10" i="1"/>
  <c r="F9" i="1"/>
  <c r="C9" i="1"/>
  <c r="F8" i="1"/>
  <c r="C8" i="1"/>
  <c r="F7" i="1"/>
  <c r="C7" i="1"/>
</calcChain>
</file>

<file path=xl/sharedStrings.xml><?xml version="1.0" encoding="utf-8"?>
<sst xmlns="http://schemas.openxmlformats.org/spreadsheetml/2006/main" count="868" uniqueCount="363">
  <si>
    <t>NCC Audit Reform and LGR Obligations Tracker</t>
  </si>
  <si>
    <t>Live summary. Figures update automatically when you open the file.</t>
  </si>
  <si>
    <t>Obligations by status</t>
  </si>
  <si>
    <t>Obligations by risk</t>
  </si>
  <si>
    <t>Status</t>
  </si>
  <si>
    <t>Count</t>
  </si>
  <si>
    <t>Risk</t>
  </si>
  <si>
    <t>Not started</t>
  </si>
  <si>
    <t>High</t>
  </si>
  <si>
    <t>In progress</t>
  </si>
  <si>
    <t>Medium</t>
  </si>
  <si>
    <t>Complete</t>
  </si>
  <si>
    <t>Low</t>
  </si>
  <si>
    <t>Blocked</t>
  </si>
  <si>
    <t>Ongoing</t>
  </si>
  <si>
    <t>Intelligence feed</t>
  </si>
  <si>
    <t>Total items captured</t>
  </si>
  <si>
    <t>Flagged Material = Yes</t>
  </si>
  <si>
    <t>Awaiting review</t>
  </si>
  <si>
    <t>Date Found</t>
  </si>
  <si>
    <t>Title</t>
  </si>
  <si>
    <t>Source</t>
  </si>
  <si>
    <t>Category</t>
  </si>
  <si>
    <t>Published</t>
  </si>
  <si>
    <t>Material</t>
  </si>
  <si>
    <t>Matched</t>
  </si>
  <si>
    <t>Theme</t>
  </si>
  <si>
    <t>URL</t>
  </si>
  <si>
    <t>Reviewed</t>
  </si>
  <si>
    <t>Notes</t>
  </si>
  <si>
    <t>Hash</t>
  </si>
  <si>
    <t>2026-06-08</t>
  </si>
  <si>
    <t>CG61800P - Capital Gains Manual: Reliefs: Relief on disposals of land by local constituency associations of political parties on reorganisations of constituencies: contents</t>
  </si>
  <si>
    <t>GOV.UK</t>
  </si>
  <si>
    <t>Guidance</t>
  </si>
  <si>
    <t>Unclear</t>
  </si>
  <si>
    <t>Transition</t>
  </si>
  <si>
    <t>LGR Transition</t>
  </si>
  <si>
    <t>https://www.gov.uk/hmrc-internal-manuals/capital-gains-manual/cg61800p</t>
  </si>
  <si>
    <t>7a26ac8973c7405e05b7cfd0b9d01b74</t>
  </si>
  <si>
    <t>Decision for Suge Ltd (OF2058163)</t>
  </si>
  <si>
    <t>2026-06-05</t>
  </si>
  <si>
    <t>Intervention</t>
  </si>
  <si>
    <t>Governance and Transparency</t>
  </si>
  <si>
    <t>https://www.gov.uk/traffic-commissioner-regulatory-decisions/decision-for-suge-ltd-of2058163</t>
  </si>
  <si>
    <t>beb15fe3044aaa092154f2297146bd5c</t>
  </si>
  <si>
    <t>Mayors meet in York as “devolution revolution” delivers</t>
  </si>
  <si>
    <t>News</t>
  </si>
  <si>
    <t>https://www.gov.uk/government/news/mayors-meet-in-york-as-devolution-revolution-delivers</t>
  </si>
  <si>
    <t>990b1a520e669337996e2b0e2c57b819</t>
  </si>
  <si>
    <t>Local Audit Office Chair: the government’s preferred candidate</t>
  </si>
  <si>
    <t>Correspondence</t>
  </si>
  <si>
    <t>2026-05-26</t>
  </si>
  <si>
    <t>Audit</t>
  </si>
  <si>
    <t>Audit Procurement</t>
  </si>
  <si>
    <t>https://www.gov.uk/government/publications/local-audit-office-chair-the-governments-preferred-candidate</t>
  </si>
  <si>
    <t>29225ec1a415a81cf231e2c32c5a19de</t>
  </si>
  <si>
    <t>Local government reorganisation: implementation guidance</t>
  </si>
  <si>
    <t>2026-05-21</t>
  </si>
  <si>
    <t>https://www.gov.uk/government/publications/local-government-reorganisation-implementation-guidance</t>
  </si>
  <si>
    <t>774a562d1fcbe994282fb838ddc67712</t>
  </si>
  <si>
    <t>Local government reorganisation: Policy and programme updates</t>
  </si>
  <si>
    <t>Collection</t>
  </si>
  <si>
    <t>2026-03-12</t>
  </si>
  <si>
    <t>https://www.gov.uk/government/collections/local-government-reorganisation-policy-and-programme-updates</t>
  </si>
  <si>
    <t>4d80bb6766cc36845f3aaa63ed38032e</t>
  </si>
  <si>
    <t>Nottinghamshire and Nottingham: Local government reorganisation</t>
  </si>
  <si>
    <t>2026-02-05</t>
  </si>
  <si>
    <t>Yes</t>
  </si>
  <si>
    <t>Local, Transition</t>
  </si>
  <si>
    <t>https://www.gov.uk/government/collections/nottinghamshire-and-nottingham-local-government-reorganisation</t>
  </si>
  <si>
    <t>438de41b33123f97381da2a9ae88434e</t>
  </si>
  <si>
    <t>Local government reorganisation: summary of feedback on interim plans</t>
  </si>
  <si>
    <t>2025-06-03</t>
  </si>
  <si>
    <t>https://www.gov.uk/government/publications/local-government-reorganisation-summary-of-feedback-on-interim-plans</t>
  </si>
  <si>
    <t>f9370765871b9fce3681e7465d2c31d4</t>
  </si>
  <si>
    <t>​​English Devolution White Paper​: Power and partnership: Foundations for growth</t>
  </si>
  <si>
    <t>2024-12-16</t>
  </si>
  <si>
    <t>https://www.gov.uk/government/publications/english-devolution-white-paper-power-and-partnership-foundations-for-growth</t>
  </si>
  <si>
    <t>95a642b258a7dc8e0061bfa8718344dc</t>
  </si>
  <si>
    <t>Local government reorganisation: update on Secretary of State's decision regarding local elections of May 2026</t>
  </si>
  <si>
    <t>2026-02-16</t>
  </si>
  <si>
    <t>https://www.gov.uk/government/publications/local-government-reorganisation-update-on-secretary-of-states-decision-regarding-local-elections-of-may-2026</t>
  </si>
  <si>
    <t>8ef81633f5a750cb4c1ac14f8479b5df</t>
  </si>
  <si>
    <t>Local government reorganisation: further letters to councils on local elections in May 2026</t>
  </si>
  <si>
    <t>2026-01-29</t>
  </si>
  <si>
    <t>https://www.gov.uk/government/publications/local-government-reorganisation-further-letters-to-councils-on-local-elections-in-may-2026</t>
  </si>
  <si>
    <t>f0ca28d88494d6a9496f00f5172c71a1</t>
  </si>
  <si>
    <t>Local government reorganisation: letter to council leaders on the postponement of May 2026 local elections</t>
  </si>
  <si>
    <t>2026-01-22</t>
  </si>
  <si>
    <t>https://www.gov.uk/government/publications/local-government-reorganisation-letter-to-council-leaders-on-the-postponement-of-may-2026-local-elections</t>
  </si>
  <si>
    <t>9ed147eef80d982746677f6abed718d2</t>
  </si>
  <si>
    <t>​​​Local government reorganisation: further letter to council leaders with elections in May 2026</t>
  </si>
  <si>
    <t>2026-01-19</t>
  </si>
  <si>
    <t>https://www.gov.uk/government/publications/local-government-reorganisation-further-letter-to-council-leaders-with-elections-in-may-2026</t>
  </si>
  <si>
    <t>ebf079237d298efbcef8d2e05ff2e464</t>
  </si>
  <si>
    <t>​​​Local government reorganisation: letter to council leaders with elections in May 2026</t>
  </si>
  <si>
    <t>2025-12-18</t>
  </si>
  <si>
    <t>https://www.gov.uk/government/publications/local-government-reorganisation-letter-to-council-leaders-with-elections-in-may-2026</t>
  </si>
  <si>
    <t>c7adda5c60a04c17e302af0273366e2d</t>
  </si>
  <si>
    <t>Local government reorganisation: letter to leaders on publicity code</t>
  </si>
  <si>
    <t>2025-11-19</t>
  </si>
  <si>
    <t>https://www.gov.uk/government/publications/local-government-reorganisation-letter-to-leaders-on-publicity-code</t>
  </si>
  <si>
    <t>4fc0d66b0cbc7e1557ee2aa32833ef79</t>
  </si>
  <si>
    <t>Local government reorganisation: letter to areas invited to submit final proposals</t>
  </si>
  <si>
    <t>2025-07-24</t>
  </si>
  <si>
    <t>https://www.gov.uk/government/publications/local-government-reorganisation-letter-to-areas-invited-to-submitted-final-proposals</t>
  </si>
  <si>
    <t>22d3f1b0d8f5579612f7cafd74384940</t>
  </si>
  <si>
    <t>Local government reorganisation: invitation to local authorities in two-tier areas</t>
  </si>
  <si>
    <t>2025-02-06</t>
  </si>
  <si>
    <t>https://www.gov.uk/government/publications/local-government-reorganisation-invitation-to-local-authorities-in-two-tier-areas</t>
  </si>
  <si>
    <t>104d2308eb696644c79bf03ac45e4a8c</t>
  </si>
  <si>
    <t>Local government reorganisation: letter to two-tier areas</t>
  </si>
  <si>
    <t>2025-01-15</t>
  </si>
  <si>
    <t>https://www.gov.uk/government/publications/local-government-reorganisation-letter-to-two-tier-areas</t>
  </si>
  <si>
    <t>7dc6f9cdf34308af597518ba42239ab4</t>
  </si>
  <si>
    <t>Local Government Reorganisation Advisory Group</t>
  </si>
  <si>
    <t>2026-05-19</t>
  </si>
  <si>
    <t>https://www.gov.uk/government/groups/local-government-reorganisation-advisory-group</t>
  </si>
  <si>
    <t>deb9b24ab99e8ba843c7fbc64c5e2ebb</t>
  </si>
  <si>
    <t>Local government reorganisation in Nottinghamshire and Nottingham</t>
  </si>
  <si>
    <t>https://www.gov.uk/government/consultations/local-government-reorganisation-in-nottinghamshire-and-nottingham</t>
  </si>
  <si>
    <t>205848d9300953ace55c2f3f63b58552</t>
  </si>
  <si>
    <t>Local government reorganisation: letter to council leaders</t>
  </si>
  <si>
    <t>https://www.gov.uk/government/publications/local-government-reorganisation-letter-to-council-leaders</t>
  </si>
  <si>
    <t>b4fe184485e89661bc66c4738064cf08</t>
  </si>
  <si>
    <t>Local audit reform</t>
  </si>
  <si>
    <t>2025-12-02</t>
  </si>
  <si>
    <t>Other</t>
  </si>
  <si>
    <t>https://www.gov.uk/government/publications/local-audit-reform</t>
  </si>
  <si>
    <t>45fb6decc9967abb65dbfdbd6215b69b</t>
  </si>
  <si>
    <t>Statutory intervention: Nottingham City Council</t>
  </si>
  <si>
    <t>2026-03-24</t>
  </si>
  <si>
    <t>Local, Intervention</t>
  </si>
  <si>
    <t>https://www.gov.uk/government/collections/statutory-intervention-nottingham-city-council-minded-to-decision</t>
  </si>
  <si>
    <t>c2dc55e3a57ff4e8f558291afcc1fc0b</t>
  </si>
  <si>
    <t>Nottingham City Council: Letter to Chief Executive (24 March 2026)</t>
  </si>
  <si>
    <t>Local</t>
  </si>
  <si>
    <t>https://www.gov.uk/government/publications/nottingham-city-council-letter-to-chief-executive-24-march-2026</t>
  </si>
  <si>
    <t>2898065a8f868eaa7fd43bbd82585e3c</t>
  </si>
  <si>
    <t>Nottingham City Council: Ministerial Envoy appointment letter</t>
  </si>
  <si>
    <t>https://www.gov.uk/government/publications/nottingham-city-council-ministerial-envoy-appointment-letter</t>
  </si>
  <si>
    <t>2dbede6274db13509cc24e5283575c92</t>
  </si>
  <si>
    <t>Nottingham City Council: Letter to former Commissioners (24 March 2026)</t>
  </si>
  <si>
    <t>https://www.gov.uk/government/publications/nottingham-city-council-letter-to-former-commissioners-24-march-2026</t>
  </si>
  <si>
    <t>9fda66e1dc31a97df966b7bfb61d2152</t>
  </si>
  <si>
    <t>Nottingham City Council: Directions made under the Local Government Act 1999 (24 March 2026)</t>
  </si>
  <si>
    <t>https://www.gov.uk/government/publications/nottingham-city-council-directions-made-under-the-local-government-act-1999-24-march-2026</t>
  </si>
  <si>
    <t>8035e4e92865a4e08aa53357659b4d9c</t>
  </si>
  <si>
    <t>Nottingham City Council: Explanatory Memorandum (24 March 2026)</t>
  </si>
  <si>
    <t>https://www.gov.uk/government/publications/nottingham-city-council-explanatory-memorandum-24-march-2026</t>
  </si>
  <si>
    <t>d3c467457b540a3f0bf614309aca9c19</t>
  </si>
  <si>
    <t>Nottingham City Council: Representation (24 March 2026)</t>
  </si>
  <si>
    <t>https://www.gov.uk/government/publications/nottingham-city-council-representation-24-march-2026</t>
  </si>
  <si>
    <t>26fc51c10335d44f7a857673c0b0187d</t>
  </si>
  <si>
    <t>Nottingham City Council: Letter to the Chief Executive (4 February 2026)</t>
  </si>
  <si>
    <t>2026-02-04</t>
  </si>
  <si>
    <t>https://www.gov.uk/government/publications/nottingham-city-council-letter-to-the-chief-executive-4-february-2026</t>
  </si>
  <si>
    <t>560ce0c0352c0e6f61e7726b7b64345b</t>
  </si>
  <si>
    <t>Nottingham City Council: Ministerial response to the Commissioners’ fourth report</t>
  </si>
  <si>
    <t>https://www.gov.uk/government/publications/nottingham-city-council-ministerial-response-to-the-commissioners-fourth-report</t>
  </si>
  <si>
    <t>600b6f4d89eb5413e08733526ceca1ed</t>
  </si>
  <si>
    <t>Nottingham City Council: Commissioners’ fourth report</t>
  </si>
  <si>
    <t>https://www.gov.uk/government/publications/nottingham-city-council-commissioners-fourth-report</t>
  </si>
  <si>
    <t>99a0b5064ee8727c2347c9b72571b15b</t>
  </si>
  <si>
    <t>Nottingham City Council: Explanatory Memorandum (updated 21 November 2025)</t>
  </si>
  <si>
    <t>2025-11-21</t>
  </si>
  <si>
    <t>https://www.gov.uk/government/publications/nottingham-city-council-explanatory-memorandum-updated-21-november-2025</t>
  </si>
  <si>
    <t>801a9c9285e4a5e78e6fc55a1359a162</t>
  </si>
  <si>
    <t>Nottingham City Council: Commissioner appointment letters (updated 21 November 2025)</t>
  </si>
  <si>
    <t>https://www.gov.uk/government/publications/nottingham-city-council-commissioner-appointment-letters-updated-21-november-2025</t>
  </si>
  <si>
    <t>6251f19915a405867e8db673d2d1d536</t>
  </si>
  <si>
    <t>Nottingham City Council: Ministerial response to the Commissioners’ third report</t>
  </si>
  <si>
    <t>https://www.gov.uk/government/publications/nottingham-city-council-ministerial-response-to-the-commissioners-third-report</t>
  </si>
  <si>
    <t>057d2e3166a08ecb5b94d555e58217d4</t>
  </si>
  <si>
    <t>Nottingham City Council: Commissioners’ third report</t>
  </si>
  <si>
    <t>https://www.gov.uk/government/publications/nottingham-city-council-commissioners-third-report</t>
  </si>
  <si>
    <t>8c8111a055eaa3d14e02d4500ccb6cb3</t>
  </si>
  <si>
    <t>Nottingham City Council: Ministerial response to the Commissioners’ second report</t>
  </si>
  <si>
    <t>2025-05-08</t>
  </si>
  <si>
    <t>https://www.gov.uk/government/publications/nottingham-city-council-ministerial-response-to-the-commissioners-second-report</t>
  </si>
  <si>
    <t>cd73ff777fc694dab66f6b876a1c1c28</t>
  </si>
  <si>
    <t>Nottingham City Council: Commissioners’ second report</t>
  </si>
  <si>
    <t>https://www.gov.uk/government/publications/nottingham-city-council-commissioners-second-report</t>
  </si>
  <si>
    <t>d0c04d111712ea0ef8f01685db7108d2</t>
  </si>
  <si>
    <t>Nottingham City Council: Exceptional Financial Support request 2025-26</t>
  </si>
  <si>
    <t>2025-03-13</t>
  </si>
  <si>
    <t>https://www.gov.uk/government/publications/nottingham-city-council-exceptional-financial-support-request-2025-26</t>
  </si>
  <si>
    <t>5c4c10fa46b25394fc2cd21fe1c1d75f</t>
  </si>
  <si>
    <t>Nottingham City Council: Ministerial response to Commissioners’ first report</t>
  </si>
  <si>
    <t>2024-12-12</t>
  </si>
  <si>
    <t>https://www.gov.uk/government/publications/nottingham-city-council-ministerial-response-to-commissioners-first-report</t>
  </si>
  <si>
    <t>71f2e56afb6d6753e35b172cc516b431</t>
  </si>
  <si>
    <t>Nottingham City Council: Commissioners' first report</t>
  </si>
  <si>
    <t>https://www.gov.uk/government/publications/nottingham-city-council-commissioners-first-report</t>
  </si>
  <si>
    <t>d98ca8e7ad028a097ebc6dda8f8e5aa3</t>
  </si>
  <si>
    <t>Nottingham City Council Improvement and Assurance Board: final report</t>
  </si>
  <si>
    <t>2024-05-16</t>
  </si>
  <si>
    <t>Internal Controls</t>
  </si>
  <si>
    <t>https://www.gov.uk/government/publications/nottingham-city-council-improvement-and-assurance-board-final-report</t>
  </si>
  <si>
    <t>b2a8fea237a904bd7678992fd8043a00</t>
  </si>
  <si>
    <t>​​Nottingham City Council: Explanatory Memorandum (updated 11 April 2024)​</t>
  </si>
  <si>
    <t>2024-04-11</t>
  </si>
  <si>
    <t>https://www.gov.uk/government/publications/nottingham-city-council-explanatory-memorandum-updated-11-april-2024</t>
  </si>
  <si>
    <t>b8cca80ece289181cd7b9f904d30f831</t>
  </si>
  <si>
    <t>Nottingham City Council: Commissioner appointment letters</t>
  </si>
  <si>
    <t>https://www.gov.uk/government/publications/nottingham-city-council-commissioner-appointment-letters-22-february-2024</t>
  </si>
  <si>
    <t>3ca747b43d32cba56433c1fb3e64607a</t>
  </si>
  <si>
    <t>Nottingham City Council: Exceptional Financial Support request 2024-25</t>
  </si>
  <si>
    <t>2024-02-29</t>
  </si>
  <si>
    <t>https://www.gov.uk/government/publications/nottingham-city-council-exceptional-financial-support-request-2024-25</t>
  </si>
  <si>
    <t>0bb0ae6e9ccc3f81265482eab2db78a8</t>
  </si>
  <si>
    <t>Nottingham City Council: Letter to the Chief Executive (22 February 2024)</t>
  </si>
  <si>
    <t>2024-02-22</t>
  </si>
  <si>
    <t>https://www.gov.uk/government/publications/nottingham-city-council-letter-to-the-chief-executive-22-february-2024</t>
  </si>
  <si>
    <t>17eeadd0b9d2a6883638b93980e8ae9f</t>
  </si>
  <si>
    <t>Nottingham City Council: Ministerial letter to Sir Tony Redmond (22 February 2024)</t>
  </si>
  <si>
    <t>https://www.gov.uk/government/publications/nottingham-city-council-ministerial-letter-to-sir-tony-redmond-22-february-2024</t>
  </si>
  <si>
    <t>2a180fc130afb8024014f66b839cde05</t>
  </si>
  <si>
    <t>Nottingham City Council: Directions made under the Local Government Act 1999 (22 February 2024)</t>
  </si>
  <si>
    <t>https://www.gov.uk/government/publications/nottingham-city-council-directions-made-under-the-local-government-act-1999-22-february-2024</t>
  </si>
  <si>
    <t>145bba91104e4dbf70569b89dee1810a</t>
  </si>
  <si>
    <t>Nottingham City Council: Explanatory Memorandum (22 February 2024)</t>
  </si>
  <si>
    <t>https://www.gov.uk/government/publications/nottingham-city-council-explanatory-memorandum-22-february-2024</t>
  </si>
  <si>
    <t>10fde9f6a7ebdf4a7a5e61c0cda234b2</t>
  </si>
  <si>
    <t>Nottingham City Council: Representation (22 February 2024)</t>
  </si>
  <si>
    <t>https://www.gov.uk/government/publications/nottingham-city-council-representation-22-february-2024</t>
  </si>
  <si>
    <t>05f81d6e412bec89bd864b13642d9780</t>
  </si>
  <si>
    <t>Nottingham City Council Improvement and Assurance Board: ministerial response to the board’s third and fourth reports</t>
  </si>
  <si>
    <t>2023-12-13</t>
  </si>
  <si>
    <t>https://www.gov.uk/government/publications/nottingham-city-council-improvement-and-assurance-board-ministerial-response-to-the-boards-second-and-third-reports</t>
  </si>
  <si>
    <t>8e275a1e4218e57d6bfaa07fd56e9b7c</t>
  </si>
  <si>
    <t>Nottingham City Council: Letter to the Chief Executive (December 2023)</t>
  </si>
  <si>
    <t>https://www.gov.uk/government/publications/nottingham-city-council-letter-to-the-chief-executive-december-2023</t>
  </si>
  <si>
    <t>6c780f29e936169f46a65adfb7888545</t>
  </si>
  <si>
    <t>Nottingham City Council: fourth report from the statutory Improvement and Assurance Board</t>
  </si>
  <si>
    <t>https://www.gov.uk/government/publications/nottingham-city-council-third-report-from-the-statutory-improvement-and-assurance-board</t>
  </si>
  <si>
    <t>7590fe68c9d536659f6c631d46a88ce0</t>
  </si>
  <si>
    <t>Nottingham City Council: third report from the statutory Improvement and Assurance Board</t>
  </si>
  <si>
    <t>https://www.gov.uk/government/publications/nottingham-city-council-second-report-from-the-statutory-improvement-and-assurance-board</t>
  </si>
  <si>
    <t>439c2b8c9acfc4f81415337921caf9b6</t>
  </si>
  <si>
    <t>Nottingham City Council: Improvement and Assurance Board pay uplift letter</t>
  </si>
  <si>
    <t>2023-11-09</t>
  </si>
  <si>
    <t>https://www.gov.uk/government/publications/nottingham-city-council-improvement-and-assurance-board-pay-uplift-letter</t>
  </si>
  <si>
    <t>0baa14cb4d73737f48940bea2d009dc3</t>
  </si>
  <si>
    <t>Nottingham City Council: Letter to Sir Tony Redmond (18 May 2023)</t>
  </si>
  <si>
    <t>2023-05-18</t>
  </si>
  <si>
    <t>https://www.gov.uk/government/publications/nottingham-city-council-letter-to-sir-tony-redmond-18-may-2023</t>
  </si>
  <si>
    <t>3024293ec6dec3a33dac3ca850b5b94e</t>
  </si>
  <si>
    <t>Nottingham City Council: Improvement and Assurance Board report (18 May 2023)</t>
  </si>
  <si>
    <t>https://www.gov.uk/government/publications/nottingham-city-council-improvement-and-assurance-board-report-18-may-2023</t>
  </si>
  <si>
    <t>cd109e3e6bf48c098d30697078b0967b</t>
  </si>
  <si>
    <t>Nottingham City Council: Letter to Sir Tony Redmond (2 February 2023)</t>
  </si>
  <si>
    <t>2023-02-02</t>
  </si>
  <si>
    <t>https://www.gov.uk/government/publications/nottingham-city-council-letter-to-sir-tony-redmond-2-february-2023</t>
  </si>
  <si>
    <t>af06ed33550e77fcda0f12683c985793</t>
  </si>
  <si>
    <t>Nottingham City Council: Improvement and Assurance Board report (2 February 2023)</t>
  </si>
  <si>
    <t>https://www.gov.uk/government/publications/nottingham-city-council-improvement-and-assurance-board-report-2-february-2023</t>
  </si>
  <si>
    <t>30c37e5404e4a300ca8210982a4dbf07</t>
  </si>
  <si>
    <t>Nottingham City Council: Letter to the Chief Executive (2 September 2022)</t>
  </si>
  <si>
    <t>2022-09-02</t>
  </si>
  <si>
    <t>https://www.gov.uk/government/publications/nottingham-city-council-letter-to-the-chief-executive-2-september-2022</t>
  </si>
  <si>
    <t>2a1175d02720975b8afb24a6fb1fb0da</t>
  </si>
  <si>
    <t>Nottingham City Council: Letter to Sir Tony Redmond</t>
  </si>
  <si>
    <t>https://www.gov.uk/government/publications/nottingham-city-council-letter-to-sir-tony-redmond</t>
  </si>
  <si>
    <t>33eef31789f3513e07cd9482e927715e</t>
  </si>
  <si>
    <t>Nottingham City Council: 6th report from the Improvement and Assurance Board</t>
  </si>
  <si>
    <t>https://www.gov.uk/government/publications/nottingham-city-council-6th-report-from-the-improvement-and-assurance-board</t>
  </si>
  <si>
    <t>702c5f12c252b13a654de7a80d1de649</t>
  </si>
  <si>
    <t>Nottingham City Council: Directions made under the Local Government Act 1999 (2 September 2022)</t>
  </si>
  <si>
    <t>https://www.gov.uk/government/publications/nottingham-city-council-directions-made-under-the-local-government-act-1999-2-september-2022</t>
  </si>
  <si>
    <t>3033603f989ae2332994a65f3ce3df47</t>
  </si>
  <si>
    <t>Nottingham City Council: Explanatory Memorandum</t>
  </si>
  <si>
    <t>https://www.gov.uk/government/publications/nottingham-city-council-explanatory-memorandum</t>
  </si>
  <si>
    <t>a1b9b1e7a30adb3476c5cb6cbf61526c</t>
  </si>
  <si>
    <t>Nottingham City Council: Representation</t>
  </si>
  <si>
    <t>https://www.gov.uk/government/publications/nottingham-city-council-representation</t>
  </si>
  <si>
    <t>7774e32cabdf3f56996920439013a737</t>
  </si>
  <si>
    <t>Nottingham City Council Improvement and Assurance Board: ministerial correspondence</t>
  </si>
  <si>
    <t>2022-06-22</t>
  </si>
  <si>
    <t>https://www.gov.uk/government/publications/nottingham-city-council-improvement-and-assurance-board-ministerial-correspondence</t>
  </si>
  <si>
    <t>54a71845ee55cdc504ee43adf3200855</t>
  </si>
  <si>
    <t>Nottingham City Council: Letter to the Chief Executive</t>
  </si>
  <si>
    <t>2022-06-23</t>
  </si>
  <si>
    <t>https://www.gov.uk/government/publications/nottingham-city-council-letter-to-the-chief-executive</t>
  </si>
  <si>
    <t>d14b1f80d72f9a080f4127e336d3d554</t>
  </si>
  <si>
    <t>Non-statutory review of Nottingham City Council</t>
  </si>
  <si>
    <t>https://www.gov.uk/government/collections/non-statutory-review-of-nottingham-city-council</t>
  </si>
  <si>
    <t>e512c646b828c631fbf72ad76fc7953a</t>
  </si>
  <si>
    <t>English Devolution and Community Empowerment Act 2026</t>
  </si>
  <si>
    <t>Parliament</t>
  </si>
  <si>
    <t>Bill</t>
  </si>
  <si>
    <t>https://bills.parliament.uk/bills/4002</t>
  </si>
  <si>
    <t>2cc0140e559129309466a2e5502e619e</t>
  </si>
  <si>
    <t>Local Audit (Public Access to Documents) Bill</t>
  </si>
  <si>
    <t>2019-09-19</t>
  </si>
  <si>
    <t>https://bills.parliament.uk/bills/2109</t>
  </si>
  <si>
    <t>2985280cc34046d840694129e85205da</t>
  </si>
  <si>
    <t>Local Audit (Public Access to Documents) Act 2017</t>
  </si>
  <si>
    <t>2017-04-28</t>
  </si>
  <si>
    <t>https://bills.parliament.uk/bills/1864</t>
  </si>
  <si>
    <t>89d3e0be1cff77bd8cefac91339373a9</t>
  </si>
  <si>
    <t>Local Audit and Accountability Act</t>
  </si>
  <si>
    <t>2014-01-31</t>
  </si>
  <si>
    <t>https://bills.parliament.uk/bills/1170</t>
  </si>
  <si>
    <t>af3b9150a35b25c86e223540e2f885a2</t>
  </si>
  <si>
    <t>Local Government Reorganisation (Requirement for Referendum) Bill</t>
  </si>
  <si>
    <t>https://bills.parliament.uk/bills/4073</t>
  </si>
  <si>
    <t>c13ea99d755d225002b7bb25a25b5a71</t>
  </si>
  <si>
    <t>Bill Butler named as preferred candidate for Local Audit Office Chair</t>
  </si>
  <si>
    <t>PSAA</t>
  </si>
  <si>
    <t>PSAA Update</t>
  </si>
  <si>
    <t>https://www.psaa.co.uk/2026/05/bill-butler-named-as-preferred-candidate-for-local-audit-office-chair/</t>
  </si>
  <si>
    <t>217e8a844dbce9fac4bf4e2ffffd9c99</t>
  </si>
  <si>
    <t>PSAA appoints Adrian Lythgo as new Board member</t>
  </si>
  <si>
    <t>https://www.psaa.co.uk/2026/05/psaa-appoints-adrian-lythgo-as-new-board-member/</t>
  </si>
  <si>
    <t>295e7fbfbe3919f6276fafbd7723ca11</t>
  </si>
  <si>
    <t>English Devolution Bill receives Royal Assent</t>
  </si>
  <si>
    <t>https://www.psaa.co.uk/2026/04/english-devolution-bill-receives-royal-assent/</t>
  </si>
  <si>
    <t>ba312fc132d7eae858e78fe08546b660</t>
  </si>
  <si>
    <t>Mayor joins partners as Nottingham launches bold City Vision</t>
  </si>
  <si>
    <t>EMCCA</t>
  </si>
  <si>
    <t>https://www.eastmidlands-cca.gov.uk/news/nottingham-city-vision/</t>
  </si>
  <si>
    <t>c02a3a1f32c99cbf8f89477289e4e686</t>
  </si>
  <si>
    <t>Mayor welcomes Right to Request as 'devolution revolution' delivers for communities</t>
  </si>
  <si>
    <t>https://www.eastmidlands-cca.gov.uk/news/right-to-request/</t>
  </si>
  <si>
    <t>55ae3f628fe09b311cad2563bb1a6772</t>
  </si>
  <si>
    <t>Delight as Mayor helps open Nottingham's first major bridge over the Trent in almost 70 years</t>
  </si>
  <si>
    <t>https://www.eastmidlands-cca.gov.uk/news/waterside-bridge-opens/</t>
  </si>
  <si>
    <t>c11a40c30dc7447bb458c4b1c001e5a7</t>
  </si>
  <si>
    <t>Obligation ID</t>
  </si>
  <si>
    <t>Obligation</t>
  </si>
  <si>
    <t>Source / Trigger</t>
  </si>
  <si>
    <t>Owner</t>
  </si>
  <si>
    <t>Risk Rating</t>
  </si>
  <si>
    <t>Target Date</t>
  </si>
  <si>
    <t>Evidence Required</t>
  </si>
  <si>
    <t>Evidence Location</t>
  </si>
  <si>
    <t>Sign Off By</t>
  </si>
  <si>
    <t>Last Updated</t>
  </si>
  <si>
    <t>OB-001</t>
  </si>
  <si>
    <t>Review governance and audit committee requirements arising from the English Devolution and Community Empowerment Bill and assess implications for NCC internal audit planning and successor body governance.</t>
  </si>
  <si>
    <t>English Devolution and Community Empowerment Bill</t>
  </si>
  <si>
    <t>Gap analysis against current audit committee terms of reference; updated internal audit plan note.</t>
  </si>
  <si>
    <t>OB-002</t>
  </si>
  <si>
    <t>Monitor the Local Audit Office transition and assess implications for NCC current PSAA-procured external audit contract running to 2027/28. Ensure the Audit Committee is briefed.</t>
  </si>
  <si>
    <t>PSAA abolition and Local Audit Office transition</t>
  </si>
  <si>
    <t>Audit Committee briefing note; record of contract end date and transition arrangements.</t>
  </si>
  <si>
    <t>OB-004</t>
  </si>
  <si>
    <t>Develop an internal audit plan covering the transition to successor bodies, including service demerger risk, asset and liability transfer, and governance during the shadow authority phase.</t>
  </si>
  <si>
    <t>Local Government Reorganisation in Nottinghamshire</t>
  </si>
  <si>
    <t>Transition internal audit plan; risk assessment covering demerger and asset transfer.</t>
  </si>
  <si>
    <t>OB-005</t>
  </si>
  <si>
    <t>Track and evidence NCC compliance with Commissioner directions and Continuous Improvement Committee requirements following the reduction in intervention scope.</t>
  </si>
  <si>
    <t>Statutory intervention reduction (February 2026)</t>
  </si>
  <si>
    <t>Record of Commissioner directions and NCC responses; Continuous Improvement Committee updates.</t>
  </si>
  <si>
    <t>Action ID</t>
  </si>
  <si>
    <t>Parent Obligation ID</t>
  </si>
  <si>
    <t>Action</t>
  </si>
  <si>
    <t>Start Date</t>
  </si>
  <si>
    <t>Due Date</t>
  </si>
  <si>
    <t>Percent Complete</t>
  </si>
  <si>
    <t>Evidence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</si>
</sst>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00205B"/>
      <name val="Calibri"/>
    </font>
    <font>
      <i/>
      <sz val="9"/>
      <color rgb="FF666666"/>
      <name val="Calibri"/>
    </font>
    <font>
      <b/>
      <sz val="12"/>
      <color rgb="FF00205B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Obligations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Dashboard!$B$7:$B$11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  <c:pt idx="3">
                  <c:v>Blocked</c:v>
                </c:pt>
                <c:pt idx="4">
                  <c:v>Ongoing</c:v>
                </c:pt>
              </c:strCache>
            </c:strRef>
          </c:cat>
          <c:val>
            <c:numRef>
              <c:f>Dashboard!$C$7:$C$11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1-4CC9-BBC3-5102FD61A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Obligations by risk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Dashboard!$E$7:$E$9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Dashboard!$F$7:$F$9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C-44DC-A9A2-7FE8CD09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352425</xdr:colOff>
      <xdr:row>20</xdr:row>
      <xdr:rowOff>76200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"/>
  <sheetViews>
    <sheetView showGridLines="0" workbookViewId="0"/>
  </sheetViews>
  <sheetFormatPr defaultRowHeight="14.4" x14ac:dyDescent="0.3"/>
  <cols>
    <col min="1" max="1" width="3" customWidth="1"/>
    <col min="2" max="2" width="26" customWidth="1"/>
    <col min="3" max="3" width="10" customWidth="1"/>
    <col min="4" max="4" width="3" customWidth="1"/>
    <col min="5" max="5" width="12" customWidth="1"/>
    <col min="6" max="6" width="10" customWidth="1"/>
  </cols>
  <sheetData>
    <row r="2" spans="2:6" ht="21" x14ac:dyDescent="0.4">
      <c r="B2" s="1" t="s">
        <v>0</v>
      </c>
    </row>
    <row r="3" spans="2:6" x14ac:dyDescent="0.3">
      <c r="B3" s="2" t="s">
        <v>1</v>
      </c>
    </row>
    <row r="5" spans="2:6" ht="15.6" x14ac:dyDescent="0.3">
      <c r="B5" s="3" t="s">
        <v>2</v>
      </c>
      <c r="E5" s="3" t="s">
        <v>3</v>
      </c>
    </row>
    <row r="6" spans="2:6" x14ac:dyDescent="0.3">
      <c r="B6" s="4" t="s">
        <v>4</v>
      </c>
      <c r="C6" s="4" t="s">
        <v>5</v>
      </c>
      <c r="E6" s="4" t="s">
        <v>6</v>
      </c>
      <c r="F6" s="4" t="s">
        <v>5</v>
      </c>
    </row>
    <row r="7" spans="2:6" x14ac:dyDescent="0.3">
      <c r="B7" t="s">
        <v>7</v>
      </c>
      <c r="C7">
        <f>COUNTIF(Obligations!H:H,"Not started")</f>
        <v>3</v>
      </c>
      <c r="E7" t="s">
        <v>8</v>
      </c>
      <c r="F7">
        <f>COUNTIF(Obligations!F:F,"High")</f>
        <v>2</v>
      </c>
    </row>
    <row r="8" spans="2:6" x14ac:dyDescent="0.3">
      <c r="B8" t="s">
        <v>9</v>
      </c>
      <c r="C8">
        <f>COUNTIF(Obligations!H:H,"In progress")</f>
        <v>0</v>
      </c>
      <c r="E8" t="s">
        <v>10</v>
      </c>
      <c r="F8">
        <f>COUNTIF(Obligations!F:F,"Medium")</f>
        <v>2</v>
      </c>
    </row>
    <row r="9" spans="2:6" x14ac:dyDescent="0.3">
      <c r="B9" t="s">
        <v>11</v>
      </c>
      <c r="C9">
        <f>COUNTIF(Obligations!H:H,"Complete")</f>
        <v>0</v>
      </c>
      <c r="E9" t="s">
        <v>12</v>
      </c>
      <c r="F9">
        <f>COUNTIF(Obligations!F:F,"Low")</f>
        <v>0</v>
      </c>
    </row>
    <row r="10" spans="2:6" x14ac:dyDescent="0.3">
      <c r="B10" t="s">
        <v>13</v>
      </c>
      <c r="C10">
        <f>COUNTIF(Obligations!H:H,"Blocked")</f>
        <v>0</v>
      </c>
    </row>
    <row r="11" spans="2:6" x14ac:dyDescent="0.3">
      <c r="B11" t="s">
        <v>14</v>
      </c>
      <c r="C11">
        <f>COUNTIF(Obligations!H:H,"Ongoing")</f>
        <v>1</v>
      </c>
    </row>
    <row r="15" spans="2:6" ht="15.6" x14ac:dyDescent="0.3">
      <c r="B15" s="3" t="s">
        <v>15</v>
      </c>
    </row>
    <row r="16" spans="2:6" x14ac:dyDescent="0.3">
      <c r="B16" t="s">
        <v>16</v>
      </c>
      <c r="C16">
        <f>COUNTA(Intelligence!B:B)-1</f>
        <v>79</v>
      </c>
    </row>
    <row r="17" spans="2:3" x14ac:dyDescent="0.3">
      <c r="B17" t="s">
        <v>17</v>
      </c>
      <c r="C17">
        <f>COUNTIF(Intelligence!F:F,"Yes")</f>
        <v>17</v>
      </c>
    </row>
    <row r="18" spans="2:3" x14ac:dyDescent="0.3">
      <c r="B18" t="s">
        <v>18</v>
      </c>
      <c r="C18">
        <f>COUNTIF(Intelligence!I:I,"")-1-COUNTIF(Intelligence!I:I,"No")</f>
        <v>1048495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workbookViewId="0">
      <pane ySplit="1" topLeftCell="A2" activePane="bottomLeft" state="frozen"/>
      <selection pane="bottomLeft" activeCell="K5" sqref="K5"/>
    </sheetView>
  </sheetViews>
  <sheetFormatPr defaultRowHeight="14.4" x14ac:dyDescent="0.3"/>
  <cols>
    <col min="1" max="1" width="12" customWidth="1"/>
    <col min="2" max="2" width="60" customWidth="1"/>
    <col min="3" max="3" width="14" customWidth="1"/>
    <col min="4" max="4" width="18" customWidth="1"/>
    <col min="5" max="5" width="12" customWidth="1"/>
    <col min="6" max="6" width="10" customWidth="1"/>
    <col min="7" max="7" width="20" customWidth="1"/>
    <col min="8" max="8" width="26" customWidth="1"/>
    <col min="9" max="9" width="98.109375" customWidth="1"/>
    <col min="10" max="10" width="35.6640625" customWidth="1"/>
    <col min="11" max="11" width="30" customWidth="1"/>
    <col min="12" max="12" width="34" hidden="1" customWidth="1"/>
  </cols>
  <sheetData>
    <row r="1" spans="1:12" ht="28.05" customHeight="1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</row>
    <row r="2" spans="1:12" x14ac:dyDescent="0.3">
      <c r="A2" t="s">
        <v>31</v>
      </c>
      <c r="B2" t="s">
        <v>32</v>
      </c>
      <c r="C2" t="s">
        <v>33</v>
      </c>
      <c r="D2" t="s">
        <v>34</v>
      </c>
      <c r="E2" t="s">
        <v>31</v>
      </c>
      <c r="F2" t="s">
        <v>35</v>
      </c>
      <c r="G2" t="s">
        <v>36</v>
      </c>
      <c r="H2" t="s">
        <v>37</v>
      </c>
      <c r="I2" t="s">
        <v>38</v>
      </c>
      <c r="L2" t="s">
        <v>39</v>
      </c>
    </row>
    <row r="3" spans="1:12" x14ac:dyDescent="0.3">
      <c r="A3" t="s">
        <v>31</v>
      </c>
      <c r="B3" t="s">
        <v>40</v>
      </c>
      <c r="C3" t="s">
        <v>33</v>
      </c>
      <c r="D3" t="s">
        <v>34</v>
      </c>
      <c r="E3" t="s">
        <v>41</v>
      </c>
      <c r="F3" t="s">
        <v>35</v>
      </c>
      <c r="G3" t="s">
        <v>42</v>
      </c>
      <c r="H3" t="s">
        <v>43</v>
      </c>
      <c r="I3" t="s">
        <v>44</v>
      </c>
      <c r="L3" t="s">
        <v>45</v>
      </c>
    </row>
    <row r="4" spans="1:12" x14ac:dyDescent="0.3">
      <c r="A4" t="s">
        <v>31</v>
      </c>
      <c r="B4" t="s">
        <v>46</v>
      </c>
      <c r="C4" t="s">
        <v>33</v>
      </c>
      <c r="D4" t="s">
        <v>47</v>
      </c>
      <c r="E4" t="s">
        <v>41</v>
      </c>
      <c r="F4" t="s">
        <v>35</v>
      </c>
      <c r="G4" t="s">
        <v>36</v>
      </c>
      <c r="H4" t="s">
        <v>37</v>
      </c>
      <c r="I4" t="s">
        <v>48</v>
      </c>
      <c r="L4" t="s">
        <v>49</v>
      </c>
    </row>
    <row r="5" spans="1:12" x14ac:dyDescent="0.3">
      <c r="A5" t="s">
        <v>31</v>
      </c>
      <c r="B5" t="s">
        <v>50</v>
      </c>
      <c r="C5" t="s">
        <v>33</v>
      </c>
      <c r="D5" t="s">
        <v>51</v>
      </c>
      <c r="E5" t="s">
        <v>52</v>
      </c>
      <c r="F5" t="s">
        <v>35</v>
      </c>
      <c r="G5" t="s">
        <v>53</v>
      </c>
      <c r="H5" t="s">
        <v>54</v>
      </c>
      <c r="I5" t="s">
        <v>55</v>
      </c>
      <c r="L5" t="s">
        <v>56</v>
      </c>
    </row>
    <row r="6" spans="1:12" x14ac:dyDescent="0.3">
      <c r="A6" t="s">
        <v>31</v>
      </c>
      <c r="B6" t="s">
        <v>57</v>
      </c>
      <c r="C6" t="s">
        <v>33</v>
      </c>
      <c r="D6" t="s">
        <v>34</v>
      </c>
      <c r="E6" t="s">
        <v>58</v>
      </c>
      <c r="F6" t="s">
        <v>35</v>
      </c>
      <c r="G6" t="s">
        <v>36</v>
      </c>
      <c r="H6" t="s">
        <v>37</v>
      </c>
      <c r="I6" t="s">
        <v>59</v>
      </c>
      <c r="L6" t="s">
        <v>60</v>
      </c>
    </row>
    <row r="7" spans="1:12" x14ac:dyDescent="0.3">
      <c r="A7" t="s">
        <v>31</v>
      </c>
      <c r="B7" t="s">
        <v>61</v>
      </c>
      <c r="C7" t="s">
        <v>33</v>
      </c>
      <c r="D7" t="s">
        <v>62</v>
      </c>
      <c r="E7" t="s">
        <v>63</v>
      </c>
      <c r="F7" t="s">
        <v>35</v>
      </c>
      <c r="G7" t="s">
        <v>36</v>
      </c>
      <c r="H7" t="s">
        <v>37</v>
      </c>
      <c r="I7" t="s">
        <v>64</v>
      </c>
      <c r="L7" t="s">
        <v>65</v>
      </c>
    </row>
    <row r="8" spans="1:12" x14ac:dyDescent="0.3">
      <c r="A8" t="s">
        <v>31</v>
      </c>
      <c r="B8" t="s">
        <v>66</v>
      </c>
      <c r="C8" t="s">
        <v>33</v>
      </c>
      <c r="D8" t="s">
        <v>34</v>
      </c>
      <c r="E8" t="s">
        <v>67</v>
      </c>
      <c r="F8" t="s">
        <v>68</v>
      </c>
      <c r="G8" t="s">
        <v>69</v>
      </c>
      <c r="H8" t="s">
        <v>37</v>
      </c>
      <c r="I8" t="s">
        <v>70</v>
      </c>
      <c r="L8" t="s">
        <v>71</v>
      </c>
    </row>
    <row r="9" spans="1:12" x14ac:dyDescent="0.3">
      <c r="A9" t="s">
        <v>31</v>
      </c>
      <c r="B9" t="s">
        <v>72</v>
      </c>
      <c r="C9" t="s">
        <v>33</v>
      </c>
      <c r="D9" t="s">
        <v>34</v>
      </c>
      <c r="E9" t="s">
        <v>73</v>
      </c>
      <c r="F9" t="s">
        <v>35</v>
      </c>
      <c r="G9" t="s">
        <v>36</v>
      </c>
      <c r="H9" t="s">
        <v>37</v>
      </c>
      <c r="I9" t="s">
        <v>74</v>
      </c>
      <c r="L9" t="s">
        <v>75</v>
      </c>
    </row>
    <row r="10" spans="1:12" x14ac:dyDescent="0.3">
      <c r="A10" t="s">
        <v>31</v>
      </c>
      <c r="B10" t="s">
        <v>76</v>
      </c>
      <c r="C10" t="s">
        <v>33</v>
      </c>
      <c r="D10" t="s">
        <v>34</v>
      </c>
      <c r="E10" t="s">
        <v>77</v>
      </c>
      <c r="F10" t="s">
        <v>35</v>
      </c>
      <c r="G10" t="s">
        <v>36</v>
      </c>
      <c r="H10" t="s">
        <v>37</v>
      </c>
      <c r="I10" t="s">
        <v>78</v>
      </c>
      <c r="L10" t="s">
        <v>79</v>
      </c>
    </row>
    <row r="11" spans="1:12" x14ac:dyDescent="0.3">
      <c r="A11" t="s">
        <v>31</v>
      </c>
      <c r="B11" t="s">
        <v>80</v>
      </c>
      <c r="C11" t="s">
        <v>33</v>
      </c>
      <c r="D11" t="s">
        <v>34</v>
      </c>
      <c r="E11" t="s">
        <v>81</v>
      </c>
      <c r="F11" t="s">
        <v>35</v>
      </c>
      <c r="G11" t="s">
        <v>36</v>
      </c>
      <c r="H11" t="s">
        <v>37</v>
      </c>
      <c r="I11" t="s">
        <v>82</v>
      </c>
      <c r="L11" t="s">
        <v>83</v>
      </c>
    </row>
    <row r="12" spans="1:12" x14ac:dyDescent="0.3">
      <c r="A12" t="s">
        <v>31</v>
      </c>
      <c r="B12" t="s">
        <v>84</v>
      </c>
      <c r="C12" t="s">
        <v>33</v>
      </c>
      <c r="D12" t="s">
        <v>34</v>
      </c>
      <c r="E12" t="s">
        <v>85</v>
      </c>
      <c r="F12" t="s">
        <v>35</v>
      </c>
      <c r="G12" t="s">
        <v>36</v>
      </c>
      <c r="H12" t="s">
        <v>37</v>
      </c>
      <c r="I12" t="s">
        <v>86</v>
      </c>
      <c r="L12" t="s">
        <v>87</v>
      </c>
    </row>
    <row r="13" spans="1:12" x14ac:dyDescent="0.3">
      <c r="A13" t="s">
        <v>31</v>
      </c>
      <c r="B13" t="s">
        <v>88</v>
      </c>
      <c r="C13" t="s">
        <v>33</v>
      </c>
      <c r="D13" t="s">
        <v>34</v>
      </c>
      <c r="E13" t="s">
        <v>89</v>
      </c>
      <c r="F13" t="s">
        <v>35</v>
      </c>
      <c r="G13" t="s">
        <v>36</v>
      </c>
      <c r="H13" t="s">
        <v>37</v>
      </c>
      <c r="I13" t="s">
        <v>90</v>
      </c>
      <c r="L13" t="s">
        <v>91</v>
      </c>
    </row>
    <row r="14" spans="1:12" x14ac:dyDescent="0.3">
      <c r="A14" t="s">
        <v>31</v>
      </c>
      <c r="B14" t="s">
        <v>92</v>
      </c>
      <c r="C14" t="s">
        <v>33</v>
      </c>
      <c r="D14" t="s">
        <v>34</v>
      </c>
      <c r="E14" t="s">
        <v>93</v>
      </c>
      <c r="F14" t="s">
        <v>35</v>
      </c>
      <c r="G14" t="s">
        <v>36</v>
      </c>
      <c r="H14" t="s">
        <v>37</v>
      </c>
      <c r="I14" t="s">
        <v>94</v>
      </c>
      <c r="L14" t="s">
        <v>95</v>
      </c>
    </row>
    <row r="15" spans="1:12" x14ac:dyDescent="0.3">
      <c r="A15" t="s">
        <v>31</v>
      </c>
      <c r="B15" t="s">
        <v>96</v>
      </c>
      <c r="C15" t="s">
        <v>33</v>
      </c>
      <c r="D15" t="s">
        <v>34</v>
      </c>
      <c r="E15" t="s">
        <v>97</v>
      </c>
      <c r="F15" t="s">
        <v>35</v>
      </c>
      <c r="G15" t="s">
        <v>36</v>
      </c>
      <c r="H15" t="s">
        <v>37</v>
      </c>
      <c r="I15" t="s">
        <v>98</v>
      </c>
      <c r="L15" t="s">
        <v>99</v>
      </c>
    </row>
    <row r="16" spans="1:12" x14ac:dyDescent="0.3">
      <c r="A16" t="s">
        <v>31</v>
      </c>
      <c r="B16" t="s">
        <v>100</v>
      </c>
      <c r="C16" t="s">
        <v>33</v>
      </c>
      <c r="D16" t="s">
        <v>34</v>
      </c>
      <c r="E16" t="s">
        <v>101</v>
      </c>
      <c r="F16" t="s">
        <v>35</v>
      </c>
      <c r="G16" t="s">
        <v>36</v>
      </c>
      <c r="H16" t="s">
        <v>37</v>
      </c>
      <c r="I16" t="s">
        <v>102</v>
      </c>
      <c r="L16" t="s">
        <v>103</v>
      </c>
    </row>
    <row r="17" spans="1:12" x14ac:dyDescent="0.3">
      <c r="A17" t="s">
        <v>31</v>
      </c>
      <c r="B17" t="s">
        <v>104</v>
      </c>
      <c r="C17" t="s">
        <v>33</v>
      </c>
      <c r="D17" t="s">
        <v>34</v>
      </c>
      <c r="E17" t="s">
        <v>105</v>
      </c>
      <c r="F17" t="s">
        <v>35</v>
      </c>
      <c r="G17" t="s">
        <v>36</v>
      </c>
      <c r="H17" t="s">
        <v>37</v>
      </c>
      <c r="I17" t="s">
        <v>106</v>
      </c>
      <c r="L17" t="s">
        <v>107</v>
      </c>
    </row>
    <row r="18" spans="1:12" x14ac:dyDescent="0.3">
      <c r="A18" t="s">
        <v>31</v>
      </c>
      <c r="B18" t="s">
        <v>108</v>
      </c>
      <c r="C18" t="s">
        <v>33</v>
      </c>
      <c r="D18" t="s">
        <v>34</v>
      </c>
      <c r="E18" t="s">
        <v>109</v>
      </c>
      <c r="F18" t="s">
        <v>35</v>
      </c>
      <c r="G18" t="s">
        <v>36</v>
      </c>
      <c r="H18" t="s">
        <v>37</v>
      </c>
      <c r="I18" t="s">
        <v>110</v>
      </c>
      <c r="L18" t="s">
        <v>111</v>
      </c>
    </row>
    <row r="19" spans="1:12" x14ac:dyDescent="0.3">
      <c r="A19" t="s">
        <v>31</v>
      </c>
      <c r="B19" t="s">
        <v>112</v>
      </c>
      <c r="C19" t="s">
        <v>33</v>
      </c>
      <c r="D19" t="s">
        <v>34</v>
      </c>
      <c r="E19" t="s">
        <v>113</v>
      </c>
      <c r="F19" t="s">
        <v>35</v>
      </c>
      <c r="G19" t="s">
        <v>36</v>
      </c>
      <c r="H19" t="s">
        <v>37</v>
      </c>
      <c r="I19" t="s">
        <v>114</v>
      </c>
      <c r="L19" t="s">
        <v>115</v>
      </c>
    </row>
    <row r="20" spans="1:12" x14ac:dyDescent="0.3">
      <c r="A20" t="s">
        <v>31</v>
      </c>
      <c r="B20" t="s">
        <v>116</v>
      </c>
      <c r="C20" t="s">
        <v>33</v>
      </c>
      <c r="D20" t="s">
        <v>34</v>
      </c>
      <c r="E20" t="s">
        <v>117</v>
      </c>
      <c r="F20" t="s">
        <v>35</v>
      </c>
      <c r="G20" t="s">
        <v>36</v>
      </c>
      <c r="H20" t="s">
        <v>37</v>
      </c>
      <c r="I20" t="s">
        <v>118</v>
      </c>
      <c r="L20" t="s">
        <v>119</v>
      </c>
    </row>
    <row r="21" spans="1:12" x14ac:dyDescent="0.3">
      <c r="A21" t="s">
        <v>31</v>
      </c>
      <c r="B21" t="s">
        <v>120</v>
      </c>
      <c r="C21" t="s">
        <v>33</v>
      </c>
      <c r="D21" t="s">
        <v>34</v>
      </c>
      <c r="E21" t="s">
        <v>67</v>
      </c>
      <c r="F21" t="s">
        <v>68</v>
      </c>
      <c r="G21" t="s">
        <v>69</v>
      </c>
      <c r="H21" t="s">
        <v>37</v>
      </c>
      <c r="I21" t="s">
        <v>121</v>
      </c>
      <c r="L21" t="s">
        <v>122</v>
      </c>
    </row>
    <row r="22" spans="1:12" x14ac:dyDescent="0.3">
      <c r="A22" t="s">
        <v>31</v>
      </c>
      <c r="B22" t="s">
        <v>123</v>
      </c>
      <c r="C22" t="s">
        <v>33</v>
      </c>
      <c r="D22" t="s">
        <v>34</v>
      </c>
      <c r="E22" t="s">
        <v>67</v>
      </c>
      <c r="F22" t="s">
        <v>35</v>
      </c>
      <c r="G22" t="s">
        <v>36</v>
      </c>
      <c r="H22" t="s">
        <v>37</v>
      </c>
      <c r="I22" t="s">
        <v>124</v>
      </c>
      <c r="L22" t="s">
        <v>125</v>
      </c>
    </row>
    <row r="23" spans="1:12" x14ac:dyDescent="0.3">
      <c r="A23" t="s">
        <v>31</v>
      </c>
      <c r="B23" t="s">
        <v>126</v>
      </c>
      <c r="C23" t="s">
        <v>33</v>
      </c>
      <c r="D23" t="s">
        <v>62</v>
      </c>
      <c r="E23" t="s">
        <v>127</v>
      </c>
      <c r="F23" t="s">
        <v>35</v>
      </c>
      <c r="G23" t="s">
        <v>53</v>
      </c>
      <c r="H23" t="s">
        <v>128</v>
      </c>
      <c r="I23" t="s">
        <v>129</v>
      </c>
      <c r="L23" t="s">
        <v>130</v>
      </c>
    </row>
    <row r="24" spans="1:12" x14ac:dyDescent="0.3">
      <c r="A24" t="s">
        <v>31</v>
      </c>
      <c r="B24" t="s">
        <v>131</v>
      </c>
      <c r="C24" t="s">
        <v>33</v>
      </c>
      <c r="D24" t="s">
        <v>62</v>
      </c>
      <c r="E24" t="s">
        <v>132</v>
      </c>
      <c r="F24" t="s">
        <v>68</v>
      </c>
      <c r="G24" t="s">
        <v>133</v>
      </c>
      <c r="H24" t="s">
        <v>43</v>
      </c>
      <c r="I24" t="s">
        <v>134</v>
      </c>
      <c r="L24" t="s">
        <v>135</v>
      </c>
    </row>
    <row r="25" spans="1:12" x14ac:dyDescent="0.3">
      <c r="A25" t="s">
        <v>31</v>
      </c>
      <c r="B25" t="s">
        <v>136</v>
      </c>
      <c r="C25" t="s">
        <v>33</v>
      </c>
      <c r="D25" t="s">
        <v>34</v>
      </c>
      <c r="E25" t="s">
        <v>132</v>
      </c>
      <c r="F25" t="s">
        <v>35</v>
      </c>
      <c r="G25" t="s">
        <v>137</v>
      </c>
      <c r="H25" t="s">
        <v>128</v>
      </c>
      <c r="I25" t="s">
        <v>138</v>
      </c>
      <c r="L25" t="s">
        <v>139</v>
      </c>
    </row>
    <row r="26" spans="1:12" x14ac:dyDescent="0.3">
      <c r="A26" t="s">
        <v>31</v>
      </c>
      <c r="B26" t="s">
        <v>140</v>
      </c>
      <c r="C26" t="s">
        <v>33</v>
      </c>
      <c r="D26" t="s">
        <v>34</v>
      </c>
      <c r="E26" t="s">
        <v>132</v>
      </c>
      <c r="F26" t="s">
        <v>68</v>
      </c>
      <c r="G26" t="s">
        <v>133</v>
      </c>
      <c r="H26" t="s">
        <v>43</v>
      </c>
      <c r="I26" t="s">
        <v>141</v>
      </c>
      <c r="L26" t="s">
        <v>142</v>
      </c>
    </row>
    <row r="27" spans="1:12" x14ac:dyDescent="0.3">
      <c r="A27" t="s">
        <v>31</v>
      </c>
      <c r="B27" t="s">
        <v>143</v>
      </c>
      <c r="C27" t="s">
        <v>33</v>
      </c>
      <c r="D27" t="s">
        <v>34</v>
      </c>
      <c r="E27" t="s">
        <v>132</v>
      </c>
      <c r="F27" t="s">
        <v>68</v>
      </c>
      <c r="G27" t="s">
        <v>133</v>
      </c>
      <c r="H27" t="s">
        <v>43</v>
      </c>
      <c r="I27" t="s">
        <v>144</v>
      </c>
      <c r="L27" t="s">
        <v>145</v>
      </c>
    </row>
    <row r="28" spans="1:12" x14ac:dyDescent="0.3">
      <c r="A28" t="s">
        <v>31</v>
      </c>
      <c r="B28" t="s">
        <v>146</v>
      </c>
      <c r="C28" t="s">
        <v>33</v>
      </c>
      <c r="D28" t="s">
        <v>34</v>
      </c>
      <c r="E28" t="s">
        <v>132</v>
      </c>
      <c r="F28" t="s">
        <v>35</v>
      </c>
      <c r="G28" t="s">
        <v>137</v>
      </c>
      <c r="H28" t="s">
        <v>128</v>
      </c>
      <c r="I28" t="s">
        <v>147</v>
      </c>
      <c r="L28" t="s">
        <v>148</v>
      </c>
    </row>
    <row r="29" spans="1:12" x14ac:dyDescent="0.3">
      <c r="A29" t="s">
        <v>31</v>
      </c>
      <c r="B29" t="s">
        <v>149</v>
      </c>
      <c r="C29" t="s">
        <v>33</v>
      </c>
      <c r="D29" t="s">
        <v>34</v>
      </c>
      <c r="E29" t="s">
        <v>132</v>
      </c>
      <c r="F29" t="s">
        <v>35</v>
      </c>
      <c r="G29" t="s">
        <v>137</v>
      </c>
      <c r="H29" t="s">
        <v>128</v>
      </c>
      <c r="I29" t="s">
        <v>150</v>
      </c>
      <c r="L29" t="s">
        <v>151</v>
      </c>
    </row>
    <row r="30" spans="1:12" x14ac:dyDescent="0.3">
      <c r="A30" t="s">
        <v>31</v>
      </c>
      <c r="B30" t="s">
        <v>152</v>
      </c>
      <c r="C30" t="s">
        <v>33</v>
      </c>
      <c r="D30" t="s">
        <v>34</v>
      </c>
      <c r="E30" t="s">
        <v>132</v>
      </c>
      <c r="F30" t="s">
        <v>35</v>
      </c>
      <c r="G30" t="s">
        <v>137</v>
      </c>
      <c r="H30" t="s">
        <v>128</v>
      </c>
      <c r="I30" t="s">
        <v>153</v>
      </c>
      <c r="L30" t="s">
        <v>154</v>
      </c>
    </row>
    <row r="31" spans="1:12" x14ac:dyDescent="0.3">
      <c r="A31" t="s">
        <v>31</v>
      </c>
      <c r="B31" t="s">
        <v>155</v>
      </c>
      <c r="C31" t="s">
        <v>33</v>
      </c>
      <c r="D31" t="s">
        <v>34</v>
      </c>
      <c r="E31" t="s">
        <v>156</v>
      </c>
      <c r="F31" t="s">
        <v>35</v>
      </c>
      <c r="G31" t="s">
        <v>137</v>
      </c>
      <c r="H31" t="s">
        <v>128</v>
      </c>
      <c r="I31" t="s">
        <v>157</v>
      </c>
      <c r="L31" t="s">
        <v>158</v>
      </c>
    </row>
    <row r="32" spans="1:12" x14ac:dyDescent="0.3">
      <c r="A32" t="s">
        <v>31</v>
      </c>
      <c r="B32" t="s">
        <v>159</v>
      </c>
      <c r="C32" t="s">
        <v>33</v>
      </c>
      <c r="D32" t="s">
        <v>34</v>
      </c>
      <c r="E32" t="s">
        <v>156</v>
      </c>
      <c r="F32" t="s">
        <v>68</v>
      </c>
      <c r="G32" t="s">
        <v>133</v>
      </c>
      <c r="H32" t="s">
        <v>43</v>
      </c>
      <c r="I32" t="s">
        <v>160</v>
      </c>
      <c r="L32" t="s">
        <v>161</v>
      </c>
    </row>
    <row r="33" spans="1:12" x14ac:dyDescent="0.3">
      <c r="A33" t="s">
        <v>31</v>
      </c>
      <c r="B33" t="s">
        <v>162</v>
      </c>
      <c r="C33" t="s">
        <v>33</v>
      </c>
      <c r="D33" t="s">
        <v>34</v>
      </c>
      <c r="E33" t="s">
        <v>156</v>
      </c>
      <c r="F33" t="s">
        <v>68</v>
      </c>
      <c r="G33" t="s">
        <v>133</v>
      </c>
      <c r="H33" t="s">
        <v>43</v>
      </c>
      <c r="I33" t="s">
        <v>163</v>
      </c>
      <c r="L33" t="s">
        <v>164</v>
      </c>
    </row>
    <row r="34" spans="1:12" x14ac:dyDescent="0.3">
      <c r="A34" t="s">
        <v>31</v>
      </c>
      <c r="B34" t="s">
        <v>165</v>
      </c>
      <c r="C34" t="s">
        <v>33</v>
      </c>
      <c r="D34" t="s">
        <v>34</v>
      </c>
      <c r="E34" t="s">
        <v>166</v>
      </c>
      <c r="F34" t="s">
        <v>35</v>
      </c>
      <c r="G34" t="s">
        <v>137</v>
      </c>
      <c r="H34" t="s">
        <v>128</v>
      </c>
      <c r="I34" t="s">
        <v>167</v>
      </c>
      <c r="L34" t="s">
        <v>168</v>
      </c>
    </row>
    <row r="35" spans="1:12" x14ac:dyDescent="0.3">
      <c r="A35" t="s">
        <v>31</v>
      </c>
      <c r="B35" t="s">
        <v>169</v>
      </c>
      <c r="C35" t="s">
        <v>33</v>
      </c>
      <c r="D35" t="s">
        <v>34</v>
      </c>
      <c r="E35" t="s">
        <v>166</v>
      </c>
      <c r="F35" t="s">
        <v>68</v>
      </c>
      <c r="G35" t="s">
        <v>133</v>
      </c>
      <c r="H35" t="s">
        <v>43</v>
      </c>
      <c r="I35" t="s">
        <v>170</v>
      </c>
      <c r="L35" t="s">
        <v>171</v>
      </c>
    </row>
    <row r="36" spans="1:12" x14ac:dyDescent="0.3">
      <c r="A36" t="s">
        <v>31</v>
      </c>
      <c r="B36" t="s">
        <v>172</v>
      </c>
      <c r="C36" t="s">
        <v>33</v>
      </c>
      <c r="D36" t="s">
        <v>34</v>
      </c>
      <c r="E36" t="s">
        <v>166</v>
      </c>
      <c r="F36" t="s">
        <v>68</v>
      </c>
      <c r="G36" t="s">
        <v>133</v>
      </c>
      <c r="H36" t="s">
        <v>43</v>
      </c>
      <c r="I36" t="s">
        <v>173</v>
      </c>
      <c r="L36" t="s">
        <v>174</v>
      </c>
    </row>
    <row r="37" spans="1:12" x14ac:dyDescent="0.3">
      <c r="A37" t="s">
        <v>31</v>
      </c>
      <c r="B37" t="s">
        <v>175</v>
      </c>
      <c r="C37" t="s">
        <v>33</v>
      </c>
      <c r="D37" t="s">
        <v>34</v>
      </c>
      <c r="E37" t="s">
        <v>166</v>
      </c>
      <c r="F37" t="s">
        <v>68</v>
      </c>
      <c r="G37" t="s">
        <v>133</v>
      </c>
      <c r="H37" t="s">
        <v>43</v>
      </c>
      <c r="I37" t="s">
        <v>176</v>
      </c>
      <c r="L37" t="s">
        <v>177</v>
      </c>
    </row>
    <row r="38" spans="1:12" x14ac:dyDescent="0.3">
      <c r="A38" t="s">
        <v>31</v>
      </c>
      <c r="B38" t="s">
        <v>178</v>
      </c>
      <c r="C38" t="s">
        <v>33</v>
      </c>
      <c r="D38" t="s">
        <v>34</v>
      </c>
      <c r="E38" t="s">
        <v>179</v>
      </c>
      <c r="F38" t="s">
        <v>68</v>
      </c>
      <c r="G38" t="s">
        <v>133</v>
      </c>
      <c r="H38" t="s">
        <v>43</v>
      </c>
      <c r="I38" t="s">
        <v>180</v>
      </c>
      <c r="L38" t="s">
        <v>181</v>
      </c>
    </row>
    <row r="39" spans="1:12" x14ac:dyDescent="0.3">
      <c r="A39" t="s">
        <v>31</v>
      </c>
      <c r="B39" t="s">
        <v>182</v>
      </c>
      <c r="C39" t="s">
        <v>33</v>
      </c>
      <c r="D39" t="s">
        <v>34</v>
      </c>
      <c r="E39" t="s">
        <v>179</v>
      </c>
      <c r="F39" t="s">
        <v>68</v>
      </c>
      <c r="G39" t="s">
        <v>133</v>
      </c>
      <c r="H39" t="s">
        <v>43</v>
      </c>
      <c r="I39" t="s">
        <v>183</v>
      </c>
      <c r="L39" t="s">
        <v>184</v>
      </c>
    </row>
    <row r="40" spans="1:12" x14ac:dyDescent="0.3">
      <c r="A40" t="s">
        <v>31</v>
      </c>
      <c r="B40" t="s">
        <v>185</v>
      </c>
      <c r="C40" t="s">
        <v>33</v>
      </c>
      <c r="D40" t="s">
        <v>34</v>
      </c>
      <c r="E40" t="s">
        <v>186</v>
      </c>
      <c r="F40" t="s">
        <v>68</v>
      </c>
      <c r="G40" t="s">
        <v>133</v>
      </c>
      <c r="H40" t="s">
        <v>128</v>
      </c>
      <c r="I40" t="s">
        <v>187</v>
      </c>
      <c r="L40" t="s">
        <v>188</v>
      </c>
    </row>
    <row r="41" spans="1:12" x14ac:dyDescent="0.3">
      <c r="A41" t="s">
        <v>31</v>
      </c>
      <c r="B41" t="s">
        <v>189</v>
      </c>
      <c r="C41" t="s">
        <v>33</v>
      </c>
      <c r="D41" t="s">
        <v>34</v>
      </c>
      <c r="E41" t="s">
        <v>190</v>
      </c>
      <c r="F41" t="s">
        <v>68</v>
      </c>
      <c r="G41" t="s">
        <v>133</v>
      </c>
      <c r="H41" t="s">
        <v>43</v>
      </c>
      <c r="I41" t="s">
        <v>191</v>
      </c>
      <c r="L41" t="s">
        <v>192</v>
      </c>
    </row>
    <row r="42" spans="1:12" x14ac:dyDescent="0.3">
      <c r="A42" t="s">
        <v>31</v>
      </c>
      <c r="B42" t="s">
        <v>193</v>
      </c>
      <c r="C42" t="s">
        <v>33</v>
      </c>
      <c r="D42" t="s">
        <v>34</v>
      </c>
      <c r="E42" t="s">
        <v>190</v>
      </c>
      <c r="F42" t="s">
        <v>68</v>
      </c>
      <c r="G42" t="s">
        <v>133</v>
      </c>
      <c r="H42" t="s">
        <v>43</v>
      </c>
      <c r="I42" t="s">
        <v>194</v>
      </c>
      <c r="L42" t="s">
        <v>195</v>
      </c>
    </row>
    <row r="43" spans="1:12" x14ac:dyDescent="0.3">
      <c r="A43" t="s">
        <v>31</v>
      </c>
      <c r="B43" t="s">
        <v>196</v>
      </c>
      <c r="C43" t="s">
        <v>33</v>
      </c>
      <c r="D43" t="s">
        <v>34</v>
      </c>
      <c r="E43" t="s">
        <v>197</v>
      </c>
      <c r="F43" t="s">
        <v>35</v>
      </c>
      <c r="G43" t="s">
        <v>137</v>
      </c>
      <c r="H43" t="s">
        <v>198</v>
      </c>
      <c r="I43" t="s">
        <v>199</v>
      </c>
      <c r="L43" t="s">
        <v>200</v>
      </c>
    </row>
    <row r="44" spans="1:12" x14ac:dyDescent="0.3">
      <c r="A44" t="s">
        <v>31</v>
      </c>
      <c r="B44" t="s">
        <v>201</v>
      </c>
      <c r="C44" t="s">
        <v>33</v>
      </c>
      <c r="D44" t="s">
        <v>34</v>
      </c>
      <c r="E44" t="s">
        <v>202</v>
      </c>
      <c r="F44" t="s">
        <v>35</v>
      </c>
      <c r="G44" t="s">
        <v>137</v>
      </c>
      <c r="H44" t="s">
        <v>128</v>
      </c>
      <c r="I44" t="s">
        <v>203</v>
      </c>
      <c r="L44" t="s">
        <v>204</v>
      </c>
    </row>
    <row r="45" spans="1:12" x14ac:dyDescent="0.3">
      <c r="A45" t="s">
        <v>31</v>
      </c>
      <c r="B45" t="s">
        <v>205</v>
      </c>
      <c r="C45" t="s">
        <v>33</v>
      </c>
      <c r="D45" t="s">
        <v>34</v>
      </c>
      <c r="E45" t="s">
        <v>202</v>
      </c>
      <c r="F45" t="s">
        <v>68</v>
      </c>
      <c r="G45" t="s">
        <v>133</v>
      </c>
      <c r="H45" t="s">
        <v>43</v>
      </c>
      <c r="I45" t="s">
        <v>206</v>
      </c>
      <c r="L45" t="s">
        <v>207</v>
      </c>
    </row>
    <row r="46" spans="1:12" x14ac:dyDescent="0.3">
      <c r="A46" t="s">
        <v>31</v>
      </c>
      <c r="B46" t="s">
        <v>208</v>
      </c>
      <c r="C46" t="s">
        <v>33</v>
      </c>
      <c r="D46" t="s">
        <v>34</v>
      </c>
      <c r="E46" t="s">
        <v>209</v>
      </c>
      <c r="F46" t="s">
        <v>68</v>
      </c>
      <c r="G46" t="s">
        <v>133</v>
      </c>
      <c r="H46" t="s">
        <v>128</v>
      </c>
      <c r="I46" t="s">
        <v>210</v>
      </c>
      <c r="L46" t="s">
        <v>211</v>
      </c>
    </row>
    <row r="47" spans="1:12" x14ac:dyDescent="0.3">
      <c r="A47" t="s">
        <v>31</v>
      </c>
      <c r="B47" t="s">
        <v>212</v>
      </c>
      <c r="C47" t="s">
        <v>33</v>
      </c>
      <c r="D47" t="s">
        <v>34</v>
      </c>
      <c r="E47" t="s">
        <v>213</v>
      </c>
      <c r="F47" t="s">
        <v>35</v>
      </c>
      <c r="G47" t="s">
        <v>137</v>
      </c>
      <c r="H47" t="s">
        <v>128</v>
      </c>
      <c r="I47" t="s">
        <v>214</v>
      </c>
      <c r="L47" t="s">
        <v>215</v>
      </c>
    </row>
    <row r="48" spans="1:12" x14ac:dyDescent="0.3">
      <c r="A48" t="s">
        <v>31</v>
      </c>
      <c r="B48" t="s">
        <v>216</v>
      </c>
      <c r="C48" t="s">
        <v>33</v>
      </c>
      <c r="D48" t="s">
        <v>34</v>
      </c>
      <c r="E48" t="s">
        <v>213</v>
      </c>
      <c r="F48" t="s">
        <v>35</v>
      </c>
      <c r="G48" t="s">
        <v>137</v>
      </c>
      <c r="H48" t="s">
        <v>128</v>
      </c>
      <c r="I48" t="s">
        <v>217</v>
      </c>
      <c r="L48" t="s">
        <v>218</v>
      </c>
    </row>
    <row r="49" spans="1:12" x14ac:dyDescent="0.3">
      <c r="A49" t="s">
        <v>31</v>
      </c>
      <c r="B49" t="s">
        <v>219</v>
      </c>
      <c r="C49" t="s">
        <v>33</v>
      </c>
      <c r="D49" t="s">
        <v>34</v>
      </c>
      <c r="E49" t="s">
        <v>213</v>
      </c>
      <c r="F49" t="s">
        <v>35</v>
      </c>
      <c r="G49" t="s">
        <v>137</v>
      </c>
      <c r="H49" t="s">
        <v>128</v>
      </c>
      <c r="I49" t="s">
        <v>220</v>
      </c>
      <c r="L49" t="s">
        <v>221</v>
      </c>
    </row>
    <row r="50" spans="1:12" x14ac:dyDescent="0.3">
      <c r="A50" t="s">
        <v>31</v>
      </c>
      <c r="B50" t="s">
        <v>222</v>
      </c>
      <c r="C50" t="s">
        <v>33</v>
      </c>
      <c r="D50" t="s">
        <v>34</v>
      </c>
      <c r="E50" t="s">
        <v>213</v>
      </c>
      <c r="F50" t="s">
        <v>35</v>
      </c>
      <c r="G50" t="s">
        <v>137</v>
      </c>
      <c r="H50" t="s">
        <v>128</v>
      </c>
      <c r="I50" t="s">
        <v>223</v>
      </c>
      <c r="L50" t="s">
        <v>224</v>
      </c>
    </row>
    <row r="51" spans="1:12" x14ac:dyDescent="0.3">
      <c r="A51" t="s">
        <v>31</v>
      </c>
      <c r="B51" t="s">
        <v>225</v>
      </c>
      <c r="C51" t="s">
        <v>33</v>
      </c>
      <c r="D51" t="s">
        <v>34</v>
      </c>
      <c r="E51" t="s">
        <v>213</v>
      </c>
      <c r="F51" t="s">
        <v>35</v>
      </c>
      <c r="G51" t="s">
        <v>137</v>
      </c>
      <c r="H51" t="s">
        <v>128</v>
      </c>
      <c r="I51" t="s">
        <v>226</v>
      </c>
      <c r="L51" t="s">
        <v>227</v>
      </c>
    </row>
    <row r="52" spans="1:12" x14ac:dyDescent="0.3">
      <c r="A52" t="s">
        <v>31</v>
      </c>
      <c r="B52" t="s">
        <v>228</v>
      </c>
      <c r="C52" t="s">
        <v>33</v>
      </c>
      <c r="D52" t="s">
        <v>34</v>
      </c>
      <c r="E52" t="s">
        <v>229</v>
      </c>
      <c r="F52" t="s">
        <v>35</v>
      </c>
      <c r="G52" t="s">
        <v>137</v>
      </c>
      <c r="H52" t="s">
        <v>198</v>
      </c>
      <c r="I52" t="s">
        <v>230</v>
      </c>
      <c r="L52" t="s">
        <v>231</v>
      </c>
    </row>
    <row r="53" spans="1:12" x14ac:dyDescent="0.3">
      <c r="A53" t="s">
        <v>31</v>
      </c>
      <c r="B53" t="s">
        <v>232</v>
      </c>
      <c r="C53" t="s">
        <v>33</v>
      </c>
      <c r="D53" t="s">
        <v>34</v>
      </c>
      <c r="E53" t="s">
        <v>229</v>
      </c>
      <c r="F53" t="s">
        <v>35</v>
      </c>
      <c r="G53" t="s">
        <v>137</v>
      </c>
      <c r="H53" t="s">
        <v>128</v>
      </c>
      <c r="I53" t="s">
        <v>233</v>
      </c>
      <c r="L53" t="s">
        <v>234</v>
      </c>
    </row>
    <row r="54" spans="1:12" x14ac:dyDescent="0.3">
      <c r="A54" t="s">
        <v>31</v>
      </c>
      <c r="B54" t="s">
        <v>235</v>
      </c>
      <c r="C54" t="s">
        <v>33</v>
      </c>
      <c r="D54" t="s">
        <v>34</v>
      </c>
      <c r="E54" t="s">
        <v>229</v>
      </c>
      <c r="F54" t="s">
        <v>35</v>
      </c>
      <c r="G54" t="s">
        <v>137</v>
      </c>
      <c r="H54" t="s">
        <v>198</v>
      </c>
      <c r="I54" t="s">
        <v>236</v>
      </c>
      <c r="L54" t="s">
        <v>237</v>
      </c>
    </row>
    <row r="55" spans="1:12" x14ac:dyDescent="0.3">
      <c r="A55" t="s">
        <v>31</v>
      </c>
      <c r="B55" t="s">
        <v>238</v>
      </c>
      <c r="C55" t="s">
        <v>33</v>
      </c>
      <c r="D55" t="s">
        <v>34</v>
      </c>
      <c r="E55" t="s">
        <v>229</v>
      </c>
      <c r="F55" t="s">
        <v>35</v>
      </c>
      <c r="G55" t="s">
        <v>137</v>
      </c>
      <c r="H55" t="s">
        <v>198</v>
      </c>
      <c r="I55" t="s">
        <v>239</v>
      </c>
      <c r="L55" t="s">
        <v>240</v>
      </c>
    </row>
    <row r="56" spans="1:12" x14ac:dyDescent="0.3">
      <c r="A56" t="s">
        <v>31</v>
      </c>
      <c r="B56" t="s">
        <v>241</v>
      </c>
      <c r="C56" t="s">
        <v>33</v>
      </c>
      <c r="D56" t="s">
        <v>34</v>
      </c>
      <c r="E56" t="s">
        <v>242</v>
      </c>
      <c r="F56" t="s">
        <v>35</v>
      </c>
      <c r="G56" t="s">
        <v>137</v>
      </c>
      <c r="H56" t="s">
        <v>198</v>
      </c>
      <c r="I56" t="s">
        <v>243</v>
      </c>
      <c r="L56" t="s">
        <v>244</v>
      </c>
    </row>
    <row r="57" spans="1:12" x14ac:dyDescent="0.3">
      <c r="A57" t="s">
        <v>31</v>
      </c>
      <c r="B57" t="s">
        <v>245</v>
      </c>
      <c r="C57" t="s">
        <v>33</v>
      </c>
      <c r="D57" t="s">
        <v>34</v>
      </c>
      <c r="E57" t="s">
        <v>246</v>
      </c>
      <c r="F57" t="s">
        <v>35</v>
      </c>
      <c r="G57" t="s">
        <v>137</v>
      </c>
      <c r="H57" t="s">
        <v>128</v>
      </c>
      <c r="I57" t="s">
        <v>247</v>
      </c>
      <c r="L57" t="s">
        <v>248</v>
      </c>
    </row>
    <row r="58" spans="1:12" x14ac:dyDescent="0.3">
      <c r="A58" t="s">
        <v>31</v>
      </c>
      <c r="B58" t="s">
        <v>249</v>
      </c>
      <c r="C58" t="s">
        <v>33</v>
      </c>
      <c r="D58" t="s">
        <v>34</v>
      </c>
      <c r="E58" t="s">
        <v>246</v>
      </c>
      <c r="F58" t="s">
        <v>35</v>
      </c>
      <c r="G58" t="s">
        <v>137</v>
      </c>
      <c r="H58" t="s">
        <v>198</v>
      </c>
      <c r="I58" t="s">
        <v>250</v>
      </c>
      <c r="L58" t="s">
        <v>251</v>
      </c>
    </row>
    <row r="59" spans="1:12" x14ac:dyDescent="0.3">
      <c r="A59" t="s">
        <v>31</v>
      </c>
      <c r="B59" t="s">
        <v>252</v>
      </c>
      <c r="C59" t="s">
        <v>33</v>
      </c>
      <c r="D59" t="s">
        <v>34</v>
      </c>
      <c r="E59" t="s">
        <v>253</v>
      </c>
      <c r="F59" t="s">
        <v>35</v>
      </c>
      <c r="G59" t="s">
        <v>137</v>
      </c>
      <c r="H59" t="s">
        <v>128</v>
      </c>
      <c r="I59" t="s">
        <v>254</v>
      </c>
      <c r="L59" t="s">
        <v>255</v>
      </c>
    </row>
    <row r="60" spans="1:12" x14ac:dyDescent="0.3">
      <c r="A60" t="s">
        <v>31</v>
      </c>
      <c r="B60" t="s">
        <v>256</v>
      </c>
      <c r="C60" t="s">
        <v>33</v>
      </c>
      <c r="D60" t="s">
        <v>34</v>
      </c>
      <c r="E60" t="s">
        <v>253</v>
      </c>
      <c r="F60" t="s">
        <v>35</v>
      </c>
      <c r="G60" t="s">
        <v>137</v>
      </c>
      <c r="H60" t="s">
        <v>198</v>
      </c>
      <c r="I60" t="s">
        <v>257</v>
      </c>
      <c r="L60" t="s">
        <v>258</v>
      </c>
    </row>
    <row r="61" spans="1:12" x14ac:dyDescent="0.3">
      <c r="A61" t="s">
        <v>31</v>
      </c>
      <c r="B61" t="s">
        <v>259</v>
      </c>
      <c r="C61" t="s">
        <v>33</v>
      </c>
      <c r="D61" t="s">
        <v>34</v>
      </c>
      <c r="E61" t="s">
        <v>260</v>
      </c>
      <c r="F61" t="s">
        <v>35</v>
      </c>
      <c r="G61" t="s">
        <v>137</v>
      </c>
      <c r="H61" t="s">
        <v>128</v>
      </c>
      <c r="I61" t="s">
        <v>261</v>
      </c>
      <c r="L61" t="s">
        <v>262</v>
      </c>
    </row>
    <row r="62" spans="1:12" x14ac:dyDescent="0.3">
      <c r="A62" t="s">
        <v>31</v>
      </c>
      <c r="B62" t="s">
        <v>263</v>
      </c>
      <c r="C62" t="s">
        <v>33</v>
      </c>
      <c r="D62" t="s">
        <v>34</v>
      </c>
      <c r="E62" t="s">
        <v>260</v>
      </c>
      <c r="F62" t="s">
        <v>35</v>
      </c>
      <c r="G62" t="s">
        <v>137</v>
      </c>
      <c r="H62" t="s">
        <v>128</v>
      </c>
      <c r="I62" t="s">
        <v>264</v>
      </c>
      <c r="L62" t="s">
        <v>265</v>
      </c>
    </row>
    <row r="63" spans="1:12" x14ac:dyDescent="0.3">
      <c r="A63" t="s">
        <v>31</v>
      </c>
      <c r="B63" t="s">
        <v>266</v>
      </c>
      <c r="C63" t="s">
        <v>33</v>
      </c>
      <c r="D63" t="s">
        <v>34</v>
      </c>
      <c r="E63" t="s">
        <v>260</v>
      </c>
      <c r="F63" t="s">
        <v>35</v>
      </c>
      <c r="G63" t="s">
        <v>137</v>
      </c>
      <c r="H63" t="s">
        <v>198</v>
      </c>
      <c r="I63" t="s">
        <v>267</v>
      </c>
      <c r="L63" t="s">
        <v>268</v>
      </c>
    </row>
    <row r="64" spans="1:12" x14ac:dyDescent="0.3">
      <c r="A64" t="s">
        <v>31</v>
      </c>
      <c r="B64" t="s">
        <v>269</v>
      </c>
      <c r="C64" t="s">
        <v>33</v>
      </c>
      <c r="D64" t="s">
        <v>34</v>
      </c>
      <c r="E64" t="s">
        <v>260</v>
      </c>
      <c r="F64" t="s">
        <v>35</v>
      </c>
      <c r="G64" t="s">
        <v>137</v>
      </c>
      <c r="H64" t="s">
        <v>128</v>
      </c>
      <c r="I64" t="s">
        <v>270</v>
      </c>
      <c r="L64" t="s">
        <v>271</v>
      </c>
    </row>
    <row r="65" spans="1:12" x14ac:dyDescent="0.3">
      <c r="A65" t="s">
        <v>31</v>
      </c>
      <c r="B65" t="s">
        <v>272</v>
      </c>
      <c r="C65" t="s">
        <v>33</v>
      </c>
      <c r="D65" t="s">
        <v>34</v>
      </c>
      <c r="E65" t="s">
        <v>260</v>
      </c>
      <c r="F65" t="s">
        <v>35</v>
      </c>
      <c r="G65" t="s">
        <v>137</v>
      </c>
      <c r="H65" t="s">
        <v>128</v>
      </c>
      <c r="I65" t="s">
        <v>273</v>
      </c>
      <c r="L65" t="s">
        <v>274</v>
      </c>
    </row>
    <row r="66" spans="1:12" x14ac:dyDescent="0.3">
      <c r="A66" t="s">
        <v>31</v>
      </c>
      <c r="B66" t="s">
        <v>275</v>
      </c>
      <c r="C66" t="s">
        <v>33</v>
      </c>
      <c r="D66" t="s">
        <v>34</v>
      </c>
      <c r="E66" t="s">
        <v>260</v>
      </c>
      <c r="F66" t="s">
        <v>35</v>
      </c>
      <c r="G66" t="s">
        <v>137</v>
      </c>
      <c r="H66" t="s">
        <v>128</v>
      </c>
      <c r="I66" t="s">
        <v>276</v>
      </c>
      <c r="L66" t="s">
        <v>277</v>
      </c>
    </row>
    <row r="67" spans="1:12" x14ac:dyDescent="0.3">
      <c r="A67" t="s">
        <v>31</v>
      </c>
      <c r="B67" t="s">
        <v>278</v>
      </c>
      <c r="C67" t="s">
        <v>33</v>
      </c>
      <c r="D67" t="s">
        <v>34</v>
      </c>
      <c r="E67" t="s">
        <v>279</v>
      </c>
      <c r="F67" t="s">
        <v>35</v>
      </c>
      <c r="G67" t="s">
        <v>137</v>
      </c>
      <c r="H67" t="s">
        <v>198</v>
      </c>
      <c r="I67" t="s">
        <v>280</v>
      </c>
      <c r="L67" t="s">
        <v>281</v>
      </c>
    </row>
    <row r="68" spans="1:12" x14ac:dyDescent="0.3">
      <c r="A68" t="s">
        <v>31</v>
      </c>
      <c r="B68" t="s">
        <v>282</v>
      </c>
      <c r="C68" t="s">
        <v>33</v>
      </c>
      <c r="D68" t="s">
        <v>34</v>
      </c>
      <c r="E68" t="s">
        <v>283</v>
      </c>
      <c r="F68" t="s">
        <v>35</v>
      </c>
      <c r="G68" t="s">
        <v>137</v>
      </c>
      <c r="H68" t="s">
        <v>128</v>
      </c>
      <c r="I68" t="s">
        <v>284</v>
      </c>
      <c r="L68" t="s">
        <v>285</v>
      </c>
    </row>
    <row r="69" spans="1:12" x14ac:dyDescent="0.3">
      <c r="A69" t="s">
        <v>31</v>
      </c>
      <c r="B69" t="s">
        <v>286</v>
      </c>
      <c r="C69" t="s">
        <v>33</v>
      </c>
      <c r="D69" t="s">
        <v>34</v>
      </c>
      <c r="E69" t="s">
        <v>283</v>
      </c>
      <c r="F69" t="s">
        <v>35</v>
      </c>
      <c r="G69" t="s">
        <v>137</v>
      </c>
      <c r="H69" t="s">
        <v>128</v>
      </c>
      <c r="I69" t="s">
        <v>287</v>
      </c>
      <c r="L69" t="s">
        <v>288</v>
      </c>
    </row>
    <row r="70" spans="1:12" x14ac:dyDescent="0.3">
      <c r="A70" t="s">
        <v>31</v>
      </c>
      <c r="B70" t="s">
        <v>289</v>
      </c>
      <c r="C70" t="s">
        <v>290</v>
      </c>
      <c r="D70" t="s">
        <v>291</v>
      </c>
      <c r="F70" t="s">
        <v>35</v>
      </c>
      <c r="G70" t="s">
        <v>36</v>
      </c>
      <c r="H70" t="s">
        <v>37</v>
      </c>
      <c r="I70" t="s">
        <v>292</v>
      </c>
      <c r="L70" t="s">
        <v>293</v>
      </c>
    </row>
    <row r="71" spans="1:12" x14ac:dyDescent="0.3">
      <c r="A71" t="s">
        <v>31</v>
      </c>
      <c r="B71" t="s">
        <v>294</v>
      </c>
      <c r="C71" t="s">
        <v>290</v>
      </c>
      <c r="D71" t="s">
        <v>291</v>
      </c>
      <c r="E71" t="s">
        <v>295</v>
      </c>
      <c r="F71" t="s">
        <v>35</v>
      </c>
      <c r="G71" t="s">
        <v>53</v>
      </c>
      <c r="H71" t="s">
        <v>128</v>
      </c>
      <c r="I71" t="s">
        <v>296</v>
      </c>
      <c r="L71" t="s">
        <v>297</v>
      </c>
    </row>
    <row r="72" spans="1:12" x14ac:dyDescent="0.3">
      <c r="A72" t="s">
        <v>31</v>
      </c>
      <c r="B72" t="s">
        <v>298</v>
      </c>
      <c r="C72" t="s">
        <v>290</v>
      </c>
      <c r="D72" t="s">
        <v>291</v>
      </c>
      <c r="E72" t="s">
        <v>299</v>
      </c>
      <c r="F72" t="s">
        <v>35</v>
      </c>
      <c r="G72" t="s">
        <v>53</v>
      </c>
      <c r="H72" t="s">
        <v>128</v>
      </c>
      <c r="I72" t="s">
        <v>300</v>
      </c>
      <c r="L72" t="s">
        <v>301</v>
      </c>
    </row>
    <row r="73" spans="1:12" x14ac:dyDescent="0.3">
      <c r="A73" t="s">
        <v>31</v>
      </c>
      <c r="B73" t="s">
        <v>302</v>
      </c>
      <c r="C73" t="s">
        <v>290</v>
      </c>
      <c r="D73" t="s">
        <v>291</v>
      </c>
      <c r="E73" t="s">
        <v>303</v>
      </c>
      <c r="F73" t="s">
        <v>35</v>
      </c>
      <c r="G73" t="s">
        <v>53</v>
      </c>
      <c r="H73" t="s">
        <v>128</v>
      </c>
      <c r="I73" t="s">
        <v>304</v>
      </c>
      <c r="L73" t="s">
        <v>305</v>
      </c>
    </row>
    <row r="74" spans="1:12" x14ac:dyDescent="0.3">
      <c r="A74" t="s">
        <v>31</v>
      </c>
      <c r="B74" t="s">
        <v>306</v>
      </c>
      <c r="C74" t="s">
        <v>290</v>
      </c>
      <c r="D74" t="s">
        <v>291</v>
      </c>
      <c r="F74" t="s">
        <v>35</v>
      </c>
      <c r="G74" t="s">
        <v>36</v>
      </c>
      <c r="H74" t="s">
        <v>37</v>
      </c>
      <c r="I74" t="s">
        <v>307</v>
      </c>
      <c r="L74" t="s">
        <v>308</v>
      </c>
    </row>
    <row r="75" spans="1:12" x14ac:dyDescent="0.3">
      <c r="A75" t="s">
        <v>31</v>
      </c>
      <c r="B75" t="s">
        <v>309</v>
      </c>
      <c r="C75" t="s">
        <v>310</v>
      </c>
      <c r="D75" t="s">
        <v>311</v>
      </c>
      <c r="E75" t="s">
        <v>31</v>
      </c>
      <c r="F75" t="s">
        <v>35</v>
      </c>
      <c r="G75" t="s">
        <v>53</v>
      </c>
      <c r="H75" t="s">
        <v>54</v>
      </c>
      <c r="I75" t="s">
        <v>312</v>
      </c>
      <c r="L75" t="s">
        <v>313</v>
      </c>
    </row>
    <row r="76" spans="1:12" x14ac:dyDescent="0.3">
      <c r="A76" t="s">
        <v>31</v>
      </c>
      <c r="B76" t="s">
        <v>314</v>
      </c>
      <c r="C76" t="s">
        <v>310</v>
      </c>
      <c r="D76" t="s">
        <v>311</v>
      </c>
      <c r="E76" t="s">
        <v>31</v>
      </c>
      <c r="F76" t="s">
        <v>35</v>
      </c>
      <c r="G76" t="s">
        <v>53</v>
      </c>
      <c r="H76" t="s">
        <v>54</v>
      </c>
      <c r="I76" t="s">
        <v>315</v>
      </c>
      <c r="L76" t="s">
        <v>316</v>
      </c>
    </row>
    <row r="77" spans="1:12" x14ac:dyDescent="0.3">
      <c r="A77" t="s">
        <v>31</v>
      </c>
      <c r="B77" t="s">
        <v>317</v>
      </c>
      <c r="C77" t="s">
        <v>310</v>
      </c>
      <c r="D77" t="s">
        <v>311</v>
      </c>
      <c r="E77" t="s">
        <v>31</v>
      </c>
      <c r="F77" t="s">
        <v>35</v>
      </c>
      <c r="G77" t="s">
        <v>36</v>
      </c>
      <c r="H77" t="s">
        <v>37</v>
      </c>
      <c r="I77" t="s">
        <v>318</v>
      </c>
      <c r="L77" t="s">
        <v>319</v>
      </c>
    </row>
    <row r="78" spans="1:12" x14ac:dyDescent="0.3">
      <c r="A78" t="s">
        <v>31</v>
      </c>
      <c r="B78" t="s">
        <v>320</v>
      </c>
      <c r="C78" t="s">
        <v>321</v>
      </c>
      <c r="D78" t="s">
        <v>34</v>
      </c>
      <c r="F78" t="s">
        <v>35</v>
      </c>
      <c r="G78" t="s">
        <v>137</v>
      </c>
      <c r="H78" t="s">
        <v>128</v>
      </c>
      <c r="I78" t="s">
        <v>322</v>
      </c>
      <c r="L78" t="s">
        <v>323</v>
      </c>
    </row>
    <row r="79" spans="1:12" x14ac:dyDescent="0.3">
      <c r="A79" t="s">
        <v>31</v>
      </c>
      <c r="B79" t="s">
        <v>324</v>
      </c>
      <c r="C79" t="s">
        <v>321</v>
      </c>
      <c r="D79" t="s">
        <v>34</v>
      </c>
      <c r="F79" t="s">
        <v>35</v>
      </c>
      <c r="G79" t="s">
        <v>36</v>
      </c>
      <c r="H79" t="s">
        <v>37</v>
      </c>
      <c r="I79" t="s">
        <v>325</v>
      </c>
      <c r="L79" t="s">
        <v>326</v>
      </c>
    </row>
    <row r="80" spans="1:12" x14ac:dyDescent="0.3">
      <c r="A80" t="s">
        <v>31</v>
      </c>
      <c r="B80" t="s">
        <v>327</v>
      </c>
      <c r="C80" t="s">
        <v>321</v>
      </c>
      <c r="D80" t="s">
        <v>34</v>
      </c>
      <c r="F80" t="s">
        <v>35</v>
      </c>
      <c r="G80" t="s">
        <v>137</v>
      </c>
      <c r="H80" t="s">
        <v>128</v>
      </c>
      <c r="I80" t="s">
        <v>328</v>
      </c>
      <c r="L80" t="s">
        <v>329</v>
      </c>
    </row>
  </sheetData>
  <dataValidations count="1">
    <dataValidation type="list" allowBlank="1" sqref="J2:J2000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3" customWidth="1"/>
    <col min="2" max="2" width="83.88671875" customWidth="1"/>
    <col min="3" max="3" width="30" customWidth="1"/>
    <col min="4" max="4" width="22" customWidth="1"/>
    <col min="5" max="5" width="18" customWidth="1"/>
    <col min="6" max="6" width="12" customWidth="1"/>
    <col min="7" max="7" width="13" customWidth="1"/>
    <col min="8" max="8" width="14" customWidth="1"/>
    <col min="9" max="10" width="30" customWidth="1"/>
    <col min="11" max="11" width="16" customWidth="1"/>
    <col min="12" max="12" width="13" customWidth="1"/>
    <col min="13" max="13" width="30" customWidth="1"/>
  </cols>
  <sheetData>
    <row r="1" spans="1:13" ht="28.05" customHeight="1" x14ac:dyDescent="0.3">
      <c r="A1" s="5" t="s">
        <v>330</v>
      </c>
      <c r="B1" s="5" t="s">
        <v>331</v>
      </c>
      <c r="C1" s="5" t="s">
        <v>332</v>
      </c>
      <c r="D1" s="5" t="s">
        <v>26</v>
      </c>
      <c r="E1" s="5" t="s">
        <v>333</v>
      </c>
      <c r="F1" s="5" t="s">
        <v>334</v>
      </c>
      <c r="G1" s="5" t="s">
        <v>335</v>
      </c>
      <c r="H1" s="5" t="s">
        <v>4</v>
      </c>
      <c r="I1" s="5" t="s">
        <v>336</v>
      </c>
      <c r="J1" s="5" t="s">
        <v>337</v>
      </c>
      <c r="K1" s="5" t="s">
        <v>338</v>
      </c>
      <c r="L1" s="5" t="s">
        <v>339</v>
      </c>
      <c r="M1" s="5" t="s">
        <v>29</v>
      </c>
    </row>
    <row r="2" spans="1:13" x14ac:dyDescent="0.3">
      <c r="A2" t="s">
        <v>340</v>
      </c>
      <c r="B2" t="s">
        <v>341</v>
      </c>
      <c r="C2" t="s">
        <v>342</v>
      </c>
      <c r="D2" t="s">
        <v>37</v>
      </c>
      <c r="F2" t="s">
        <v>10</v>
      </c>
      <c r="H2" t="s">
        <v>7</v>
      </c>
      <c r="I2" t="s">
        <v>343</v>
      </c>
    </row>
    <row r="3" spans="1:13" x14ac:dyDescent="0.3">
      <c r="A3" t="s">
        <v>344</v>
      </c>
      <c r="B3" t="s">
        <v>345</v>
      </c>
      <c r="C3" t="s">
        <v>346</v>
      </c>
      <c r="D3" t="s">
        <v>54</v>
      </c>
      <c r="F3" t="s">
        <v>8</v>
      </c>
      <c r="H3" t="s">
        <v>7</v>
      </c>
      <c r="I3" t="s">
        <v>347</v>
      </c>
    </row>
    <row r="4" spans="1:13" x14ac:dyDescent="0.3">
      <c r="A4" t="s">
        <v>348</v>
      </c>
      <c r="B4" t="s">
        <v>349</v>
      </c>
      <c r="C4" t="s">
        <v>350</v>
      </c>
      <c r="D4" t="s">
        <v>37</v>
      </c>
      <c r="F4" t="s">
        <v>8</v>
      </c>
      <c r="H4" t="s">
        <v>7</v>
      </c>
      <c r="I4" t="s">
        <v>351</v>
      </c>
    </row>
    <row r="5" spans="1:13" x14ac:dyDescent="0.3">
      <c r="A5" t="s">
        <v>352</v>
      </c>
      <c r="B5" t="s">
        <v>353</v>
      </c>
      <c r="C5" t="s">
        <v>354</v>
      </c>
      <c r="D5" t="s">
        <v>43</v>
      </c>
      <c r="F5" t="s">
        <v>10</v>
      </c>
      <c r="H5" t="s">
        <v>14</v>
      </c>
      <c r="I5" t="s">
        <v>355</v>
      </c>
    </row>
  </sheetData>
  <dataValidations count="2">
    <dataValidation type="list" allowBlank="1" sqref="F2:F500" xr:uid="{00000000-0002-0000-0200-000000000000}">
      <formula1>"High,Medium,Low"</formula1>
    </dataValidation>
    <dataValidation type="list" allowBlank="1" sqref="H2:H500" xr:uid="{00000000-0002-0000-0200-000001000000}">
      <formula1>"Not started,In progress,Complete,Blocked,Ongoing"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50" customWidth="1"/>
    <col min="4" max="4" width="18" customWidth="1"/>
    <col min="5" max="6" width="12" customWidth="1"/>
    <col min="7" max="8" width="14" customWidth="1"/>
    <col min="9" max="9" width="40" customWidth="1"/>
    <col min="10" max="10" width="30" customWidth="1"/>
  </cols>
  <sheetData>
    <row r="1" spans="1:10" ht="28.05" customHeight="1" x14ac:dyDescent="0.3">
      <c r="A1" s="5" t="s">
        <v>356</v>
      </c>
      <c r="B1" s="5" t="s">
        <v>357</v>
      </c>
      <c r="C1" s="5" t="s">
        <v>358</v>
      </c>
      <c r="D1" s="5" t="s">
        <v>333</v>
      </c>
      <c r="E1" s="5" t="s">
        <v>359</v>
      </c>
      <c r="F1" s="5" t="s">
        <v>360</v>
      </c>
      <c r="G1" s="5" t="s">
        <v>4</v>
      </c>
      <c r="H1" s="5" t="s">
        <v>361</v>
      </c>
      <c r="I1" s="5" t="s">
        <v>362</v>
      </c>
      <c r="J1" s="5" t="s">
        <v>29</v>
      </c>
    </row>
  </sheetData>
  <dataValidations count="1">
    <dataValidation type="list" allowBlank="1" sqref="G2:G1000" xr:uid="{00000000-0002-0000-0300-000000000000}">
      <formula1>"Not started,In progress,Complete,Blocked,Cancelled"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Intelligence</vt:lpstr>
      <vt:lpstr>Obligations</vt:lpstr>
      <vt:lpstr>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Kwarteng</cp:lastModifiedBy>
  <dcterms:created xsi:type="dcterms:W3CDTF">2026-06-08T10:33:45Z</dcterms:created>
  <dcterms:modified xsi:type="dcterms:W3CDTF">2026-06-08T13:14:18Z</dcterms:modified>
</cp:coreProperties>
</file>